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163C3000-7359-462B-A716-BEFE026278E7}" xr6:coauthVersionLast="47" xr6:coauthVersionMax="47" xr10:uidLastSave="{00000000-0000-0000-0000-000000000000}"/>
  <bookViews>
    <workbookView xWindow="-28920" yWindow="-2670" windowWidth="29040" windowHeight="15720" tabRatio="846" activeTab="3" xr2:uid="{72B14DBD-63CB-44F4-8629-86E2142CCC14}"/>
  </bookViews>
  <sheets>
    <sheet name="Cover" sheetId="7" r:id="rId1"/>
    <sheet name="Purpose" sheetId="15" r:id="rId2"/>
    <sheet name="Safe Harbor" sheetId="16" r:id="rId3"/>
    <sheet name="Definition" sheetId="18" r:id="rId4"/>
    <sheet name="Full Taxation" sheetId="10" r:id="rId5"/>
    <sheet name="Deferred" sheetId="19" r:id="rId6"/>
    <sheet name="Tax Rate Reduction " sheetId="20" r:id="rId7"/>
    <sheet name="Suspended with Full Taxation" sheetId="21" r:id="rId8"/>
    <sheet name="Consolidated Mapping" sheetId="25" r:id="rId9"/>
  </sheets>
  <definedNames>
    <definedName name="_xlnm.Print_Area" localSheetId="0">Cover!$B:$I</definedName>
    <definedName name="_xlnm.Print_Area" localSheetId="1">Purpose!$A$1:$I$28</definedName>
    <definedName name="_xlnm.Print_Area" localSheetId="2">'Safe Harbor'!$A$1:$I$28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0" l="1"/>
  <c r="C33" i="20"/>
  <c r="C43" i="21" l="1"/>
  <c r="C41" i="21"/>
  <c r="C39" i="21"/>
  <c r="C34" i="21"/>
  <c r="C25" i="21"/>
  <c r="C16" i="21"/>
  <c r="C43" i="20"/>
  <c r="C41" i="20"/>
  <c r="C39" i="20"/>
  <c r="C34" i="20"/>
  <c r="C24" i="20"/>
  <c r="C25" i="20" s="1"/>
  <c r="C16" i="20"/>
  <c r="C30" i="19"/>
  <c r="C34" i="19" s="1"/>
  <c r="C21" i="19"/>
  <c r="C12" i="19"/>
  <c r="C34" i="10"/>
  <c r="C25" i="10"/>
  <c r="C16" i="10"/>
</calcChain>
</file>

<file path=xl/sharedStrings.xml><?xml version="1.0" encoding="utf-8"?>
<sst xmlns="http://schemas.openxmlformats.org/spreadsheetml/2006/main" count="442" uniqueCount="137">
  <si>
    <t>RT Tax Mapping for ISV</t>
  </si>
  <si>
    <t>Change Record</t>
  </si>
  <si>
    <t>Date</t>
  </si>
  <si>
    <t>Author</t>
  </si>
  <si>
    <t>Version</t>
  </si>
  <si>
    <t>Change Reference</t>
  </si>
  <si>
    <t>LACLS Team</t>
  </si>
  <si>
    <t>Initial version</t>
  </si>
  <si>
    <t>Purpose</t>
  </si>
  <si>
    <t>Safe Harbor</t>
  </si>
  <si>
    <t>Definition</t>
  </si>
  <si>
    <t>Subject</t>
  </si>
  <si>
    <t>Description</t>
  </si>
  <si>
    <t>Tax Type</t>
  </si>
  <si>
    <t>Full Taxation (Tributação Normal)</t>
  </si>
  <si>
    <t>Tags</t>
  </si>
  <si>
    <t>CST</t>
  </si>
  <si>
    <t>000</t>
  </si>
  <si>
    <t>cClassTrib</t>
  </si>
  <si>
    <t>000001</t>
  </si>
  <si>
    <t>gIBSCBS</t>
  </si>
  <si>
    <t>gIBSMun</t>
  </si>
  <si>
    <t>gDif</t>
  </si>
  <si>
    <t>gRed</t>
  </si>
  <si>
    <t>gIBSUF</t>
  </si>
  <si>
    <t>gCBS</t>
  </si>
  <si>
    <t>gTribRegular</t>
  </si>
  <si>
    <t>CSTReg</t>
  </si>
  <si>
    <t>cClassTribReg</t>
  </si>
  <si>
    <t>pAliqEfetRegIBSMun</t>
  </si>
  <si>
    <t>vTribRegIBSMun</t>
  </si>
  <si>
    <t>pAliqEfetRegIBSUF</t>
  </si>
  <si>
    <t>vTribRegIBSUF</t>
  </si>
  <si>
    <t>pAliqEfetRegCBS</t>
  </si>
  <si>
    <t>vTribRegCBS</t>
  </si>
  <si>
    <t>eBusiness Suite</t>
  </si>
  <si>
    <t>The purpose of this document is to uniformize the Oracle eBusiness Suite setup to guarantee conformity with the demands of the Brazilian Tax Reform.</t>
  </si>
  <si>
    <r>
      <t xml:space="preserve">Consider </t>
    </r>
    <r>
      <rPr>
        <b/>
        <sz val="12"/>
        <color rgb="FF2C5266"/>
        <rFont val="Oracle Sans"/>
        <family val="2"/>
      </rPr>
      <t>ARVT_GLOBAL_ATTRIBUTE10</t>
    </r>
    <r>
      <rPr>
        <sz val="12"/>
        <color rgb="FF2C5266"/>
        <rFont val="Oracle Sans"/>
        <family val="2"/>
      </rPr>
      <t xml:space="preserve"> column in view: </t>
    </r>
    <r>
      <rPr>
        <b/>
        <sz val="12"/>
        <color rgb="FF2C5266"/>
        <rFont val="Oracle Sans"/>
        <family val="2"/>
      </rPr>
      <t>CLL_F255_AR_TOTAL_INV_TAXES_V</t>
    </r>
    <r>
      <rPr>
        <sz val="12"/>
        <color rgb="FF2C5266"/>
        <rFont val="Oracle Sans"/>
        <family val="2"/>
      </rPr>
      <t>. Possible Values:
    - IS
    - CBS
    - IBS-MUN
    - IBS-UF</t>
    </r>
  </si>
  <si>
    <t>VAT_Tributary_Situation for CBS, IBS and IS (CST)</t>
  </si>
  <si>
    <t>VAT_Tax_Classification_Code for CBS, IBS and IS (ClassTrib)</t>
  </si>
  <si>
    <t>Values Example:</t>
  </si>
  <si>
    <t>Mapping ISV - integration views:</t>
  </si>
  <si>
    <t>CLL_F255_AR_TOTAL_INV_TAXES_V.TAX_RATE when CLL_F255_AR_TOTAL_INV_TAXES_V.ARVT_GLOBAL_ATTRIBUTE10 equal to "IBS-MUN"</t>
  </si>
  <si>
    <t>CLL_F255_AR_TOTAL_INV_TAXES_V.TAX_AMOUNT when CLL_F255_AR_TOTAL_INV_TAXES_V.ARVT_GLOBAL_ATTRIBUTE10 equal to "IBS-MUN"</t>
  </si>
  <si>
    <t>CLL_F255_AR_TOTAL_INV_TAXES_V.TAX_RATE when CLL_F255_AR_TOTAL_INV_TAXES_V.ARVT_GLOBAL_ATTRIBUTE10 equal to "IBS-UF"</t>
  </si>
  <si>
    <t>CLL_F255_AR_TOTAL_INV_TAXES_V.TAX_AMOUNT when CLL_F255_AR_TOTAL_INV_TAXES_V.ARVT_GLOBAL_ATTRIBUTE10 equal to "IBS-UF"</t>
  </si>
  <si>
    <t>CLL_F255_AR_TOTAL_INV_TAXES_V.TAX_RATE when CLL_F255_AR_TOTAL_INV_TAXES_V.ARVT_GLOBAL_ATTRIBUTE10 equal to "CBS"</t>
  </si>
  <si>
    <t>CLL_F255_AR_TOTAL_INV_TAXES_V.TAX_AMOUNT when CLL_F255_AR_TOTAL_INV_TAXES_V.ARVT_GLOBAL_ATTRIBUTE10 equal to "CBS"</t>
  </si>
  <si>
    <t>Review GLOBAL_ATTRIBUTES in AR_VAT_TAX_ALL for CBS and IBS - "Full Taxation" scenario</t>
  </si>
  <si>
    <t>Revised to Release 12.2.6 or greater (Outbound Scenarios)</t>
  </si>
  <si>
    <t>Scenarios: VAT Deferred, VAT Tax Reduction and VAT Suspension / Service Fiscal Document (ISS)</t>
  </si>
  <si>
    <r>
      <rPr>
        <strike/>
        <sz val="12"/>
        <color rgb="FFFF0000"/>
        <rFont val="Oracle Sans Tab"/>
        <family val="2"/>
        <scheme val="minor"/>
      </rPr>
      <t>CLL_F255_AR_TOTAL_INV_TAXES_V.ARVT_GLOBAL_ATTRIBUTE13</t>
    </r>
    <r>
      <rPr>
        <sz val="12"/>
        <color rgb="FFFF0000"/>
        <rFont val="Oracle Sans Tab"/>
        <family val="2"/>
        <scheme val="minor"/>
      </rPr>
      <t xml:space="preserve">
</t>
    </r>
    <r>
      <rPr>
        <sz val="12"/>
        <rFont val="Oracle Sans Tab"/>
        <family val="2"/>
        <scheme val="minor"/>
      </rPr>
      <t xml:space="preserve">CLL_F255_AR_TOTAL_INV_TAXES_V.ZL_GLOBAL_ATTRIBUTE13, </t>
    </r>
    <r>
      <rPr>
        <sz val="12"/>
        <color theme="1"/>
        <rFont val="Oracle Sans Tab"/>
        <family val="2"/>
        <scheme val="minor"/>
      </rPr>
      <t>when CLL_F255_AR_TOTAL_INV_TAXES_V.ARVT_GLOBAL_ATTRIBUTE10 iqual to "CBS" or "IBS-UF" or "IBS-MUN"
If column is null (no have tax calculation in FD), must consider setup in Transaction Type, as below:
        - CLL_F255_AR_INVOICE_ITEMS_V.RCTT_GLOBAL_ATTRIBUTE7 (consider three first positions for CBS) or  
        - CLL_F255_AR_INVOICE_ITEMS_V.RCTT_GLOBAL_ATTRIBUTE8 (consider three first positions for IBS)</t>
    </r>
  </si>
  <si>
    <r>
      <rPr>
        <strike/>
        <sz val="12"/>
        <color rgb="FFFF0000"/>
        <rFont val="Oracle Sans Tab"/>
        <family val="2"/>
        <scheme val="minor"/>
      </rPr>
      <t>CLL_F255_AR_TOTAL_INV_TAXES_V.ARVT_GLOBAL_ATTRIBUTE14</t>
    </r>
    <r>
      <rPr>
        <sz val="12"/>
        <color rgb="FFFF0000"/>
        <rFont val="Oracle Sans Tab"/>
        <family val="2"/>
        <scheme val="minor"/>
      </rPr>
      <t xml:space="preserve">
</t>
    </r>
    <r>
      <rPr>
        <sz val="12"/>
        <rFont val="Oracle Sans Tab"/>
        <family val="2"/>
        <scheme val="minor"/>
      </rPr>
      <t>CLL_F255_AR_TOTAL_INV_TAXES_V.ZL_GLOBAL_ATTRIBUTE14,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"CBS" or "IBS-UF" or "IBS-MUN"
If column is null (no have tax calculation in FD), must consider setup in Transaction Type, as below:
        - CLL_F255_AR_INVOICE_ITEMS_V.RCTT_GLOBAL_ATTRIBUTE7 (for CBS) or  
        - CLL_F255_AR_INVOICE_ITEMS_V.RCTT_GLOBAL_ATTRIBUTE8 (for IBS)</t>
    </r>
  </si>
  <si>
    <r>
      <t xml:space="preserve">For emission FD, must to consider column: </t>
    </r>
    <r>
      <rPr>
        <b/>
        <sz val="12"/>
        <color rgb="FF2C5266"/>
        <rFont val="Oracle Sans"/>
        <family val="2"/>
      </rPr>
      <t>ZL_GLOBAL_ATTRIBUTE13</t>
    </r>
    <r>
      <rPr>
        <sz val="12"/>
        <color rgb="FF2C5266"/>
        <rFont val="Oracle Sans"/>
        <family val="2"/>
      </rPr>
      <t xml:space="preserve"> in view: </t>
    </r>
    <r>
      <rPr>
        <b/>
        <sz val="12"/>
        <color rgb="FF2C5266"/>
        <rFont val="Oracle Sans"/>
        <family val="2"/>
      </rPr>
      <t>CLL_F255_AR_TOTAL_INV_TAXES_V</t>
    </r>
    <r>
      <rPr>
        <sz val="12"/>
        <color rgb="FF2C5266"/>
        <rFont val="Oracle Sans"/>
        <family val="2"/>
      </rPr>
      <t xml:space="preserve">:
Example: </t>
    </r>
    <r>
      <rPr>
        <sz val="12"/>
        <color rgb="FFFF0000"/>
        <rFont val="Oracle Sans"/>
        <family val="2"/>
      </rPr>
      <t>000</t>
    </r>
    <r>
      <rPr>
        <sz val="12"/>
        <color rgb="FF2C5266"/>
        <rFont val="Oracle Sans"/>
        <family val="2"/>
      </rPr>
      <t xml:space="preserve">
For identify the tax, use column: </t>
    </r>
    <r>
      <rPr>
        <b/>
        <sz val="12"/>
        <color rgb="FF2C5266"/>
        <rFont val="Oracle Sans"/>
        <family val="2"/>
      </rPr>
      <t>ARVT_GLOBAL_ATTRIBUTE10</t>
    </r>
    <r>
      <rPr>
        <sz val="12"/>
        <color rgb="FF2C5266"/>
        <rFont val="Oracle Sans"/>
        <family val="2"/>
      </rPr>
      <t xml:space="preserve">
If FD haven't taxes information in </t>
    </r>
    <r>
      <rPr>
        <b/>
        <sz val="12"/>
        <color rgb="FF2C5266"/>
        <rFont val="Oracle Sans"/>
        <family val="2"/>
      </rPr>
      <t xml:space="preserve"> ZL_GLOBAL_ATTRIBUTE13</t>
    </r>
    <r>
      <rPr>
        <sz val="12"/>
        <color rgb="FF2C5266"/>
        <rFont val="Oracle Sans"/>
        <family val="2"/>
      </rPr>
      <t xml:space="preserve"> column,</t>
    </r>
    <r>
      <rPr>
        <b/>
        <sz val="12"/>
        <color rgb="FFFF0000"/>
        <rFont val="Oracle Sans"/>
        <family val="2"/>
      </rPr>
      <t xml:space="preserve"> </t>
    </r>
    <r>
      <rPr>
        <sz val="12"/>
        <color rgb="FF2C5266"/>
        <rFont val="Oracle Sans"/>
        <family val="2"/>
      </rPr>
      <t xml:space="preserve">must to consider </t>
    </r>
    <r>
      <rPr>
        <b/>
        <sz val="12"/>
        <color rgb="FF2C5266"/>
        <rFont val="Oracle Sans"/>
        <family val="2"/>
      </rPr>
      <t>three first position</t>
    </r>
    <r>
      <rPr>
        <sz val="12"/>
        <color rgb="FF2C5266"/>
        <rFont val="Oracle Sans"/>
        <family val="2"/>
      </rPr>
      <t xml:space="preserve"> of columns below in view: </t>
    </r>
    <r>
      <rPr>
        <b/>
        <sz val="12"/>
        <color rgb="FF2C5266"/>
        <rFont val="Oracle Sans"/>
        <family val="2"/>
      </rPr>
      <t>CLL_F255_AR_INVOICE_ITEMS_V</t>
    </r>
    <r>
      <rPr>
        <sz val="12"/>
        <color rgb="FF2C5266"/>
        <rFont val="Oracle Sans"/>
        <family val="2"/>
      </rPr>
      <t xml:space="preserve">:
    - rctt_global_attribute7 (CBS_Tax_Classification_Code)
    - rctt_global_attribute8 (IBS_Tax_Classification_Code)
    - rctt_global_attribute9 (IS_Tax_Classification_Code)
Example: </t>
    </r>
    <r>
      <rPr>
        <sz val="12"/>
        <color rgb="FFFF0000"/>
        <rFont val="Oracle Sans"/>
        <family val="2"/>
      </rPr>
      <t>000</t>
    </r>
    <r>
      <rPr>
        <sz val="12"/>
        <color rgb="FF2C5266"/>
        <rFont val="Oracle Sans"/>
        <family val="2"/>
      </rPr>
      <t>001</t>
    </r>
  </si>
  <si>
    <r>
      <t xml:space="preserve">For emission FD, must to consider column: </t>
    </r>
    <r>
      <rPr>
        <b/>
        <sz val="12"/>
        <color rgb="FF2C5266"/>
        <rFont val="Oracle Sans"/>
        <family val="2"/>
      </rPr>
      <t>ZL_GLOBAL_ATTRIBUTE14</t>
    </r>
    <r>
      <rPr>
        <sz val="12"/>
        <color rgb="FF2C5266"/>
        <rFont val="Oracle Sans"/>
        <family val="2"/>
      </rPr>
      <t xml:space="preserve"> in view: </t>
    </r>
    <r>
      <rPr>
        <b/>
        <sz val="12"/>
        <color rgb="FF2C5266"/>
        <rFont val="Oracle Sans"/>
        <family val="2"/>
      </rPr>
      <t>CLL_F255_AR_TOTAL_INV_TAXES_V</t>
    </r>
    <r>
      <rPr>
        <sz val="12"/>
        <color rgb="FF2C5266"/>
        <rFont val="Oracle Sans"/>
        <family val="2"/>
      </rPr>
      <t xml:space="preserve">:
Example: </t>
    </r>
    <r>
      <rPr>
        <sz val="12"/>
        <color rgb="FFFF0000"/>
        <rFont val="Oracle Sans"/>
        <family val="2"/>
      </rPr>
      <t>000001</t>
    </r>
    <r>
      <rPr>
        <sz val="12"/>
        <color rgb="FF2C5266"/>
        <rFont val="Oracle Sans"/>
        <family val="2"/>
      </rPr>
      <t xml:space="preserve">
For identify the tax, use column: </t>
    </r>
    <r>
      <rPr>
        <b/>
        <sz val="12"/>
        <color rgb="FF2C5266"/>
        <rFont val="Oracle Sans"/>
        <family val="2"/>
      </rPr>
      <t>ARVT_GLOBAL_ATTRIBUTE10</t>
    </r>
    <r>
      <rPr>
        <sz val="12"/>
        <color rgb="FF2C5266"/>
        <rFont val="Oracle Sans"/>
        <family val="2"/>
      </rPr>
      <t xml:space="preserve">
If FD haven't taxes information in </t>
    </r>
    <r>
      <rPr>
        <b/>
        <sz val="12"/>
        <color rgb="FF2C5266"/>
        <rFont val="Oracle Sans"/>
        <family val="2"/>
      </rPr>
      <t>ZL_GLOBAL_ATTRIBUTE14</t>
    </r>
    <r>
      <rPr>
        <sz val="12"/>
        <color rgb="FF2C5266"/>
        <rFont val="Oracle Sans"/>
        <family val="2"/>
      </rPr>
      <t xml:space="preserve"> column, must to consider the columns below in view: 
</t>
    </r>
    <r>
      <rPr>
        <b/>
        <sz val="12"/>
        <color rgb="FF2C5266"/>
        <rFont val="Oracle Sans"/>
        <family val="2"/>
      </rPr>
      <t>CLL_F255_AR_INVOICE_ITEMS_V</t>
    </r>
    <r>
      <rPr>
        <sz val="12"/>
        <color rgb="FF2C5266"/>
        <rFont val="Oracle Sans"/>
        <family val="2"/>
      </rPr>
      <t xml:space="preserve">:
    - rctt_global_attribute7 (CBS_Tax_Classification_Code)
    - rctt_global_attribute8 (IBS_Tax_Classification_Code)
    - rctt_global_attribute9 (IS_Tax_Classification_Code)
Example: </t>
    </r>
    <r>
      <rPr>
        <sz val="12"/>
        <color rgb="FFFF0000"/>
        <rFont val="Oracle Sans"/>
        <family val="2"/>
      </rPr>
      <t>000001</t>
    </r>
  </si>
  <si>
    <t>Deferred  (Diferido)</t>
  </si>
  <si>
    <t>Values</t>
  </si>
  <si>
    <t>510</t>
  </si>
  <si>
    <t>510001</t>
  </si>
  <si>
    <t>Tax Rate Reduction (Redução de Alíquota)</t>
  </si>
  <si>
    <t>200</t>
  </si>
  <si>
    <t>200027</t>
  </si>
  <si>
    <t>Suspended with Full Taxation</t>
  </si>
  <si>
    <t>550</t>
  </si>
  <si>
    <t>550001</t>
  </si>
  <si>
    <r>
      <rPr>
        <sz val="12"/>
        <rFont val="Oracle Sans Tab"/>
        <family val="2"/>
        <scheme val="minor"/>
      </rPr>
      <t xml:space="preserve">CLL_F255_AR_TOTAL_INV_TAXES_V.ZL_GLOBAL_ATTRIBUTE13, </t>
    </r>
    <r>
      <rPr>
        <sz val="12"/>
        <color theme="1"/>
        <rFont val="Oracle Sans Tab"/>
        <family val="2"/>
        <scheme val="minor"/>
      </rPr>
      <t>when CLL_F255_AR_TOTAL_INV_TAXES_V.ARVT_GLOBAL_ATTRIBUTE10 iqual to "CBS" or "IBS-UF" or "IBS-MUN"
If column is null (no have tax calculation in FD), must consider setup in Transaction Type, as below:
        - CLL_F255_AR_INVOICE_ITEMS_V.RCTT_GLOBAL_ATTRIBUTE7 (consider three first positions for CBS) or  
        - CLL_F255_AR_INVOICE_ITEMS_V.RCTT_GLOBAL_ATTRIBUTE8 (consider three first positions for IBS)</t>
    </r>
  </si>
  <si>
    <r>
      <rPr>
        <sz val="12"/>
        <rFont val="Oracle Sans Tab"/>
        <family val="2"/>
        <scheme val="minor"/>
      </rPr>
      <t>CLL_F255_AR_TOTAL_INV_TAXES_V.ZL_GLOBAL_ATTRIBUTE14,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"CBS" or "IBS-UF" or "IBS-MUN"
If column is null (no have tax calculation in FD), must consider setup in Transaction Type, as below:
        - CLL_F255_AR_INVOICE_ITEMS_V.RCTT_GLOBAL_ATTRIBUTE7 (for CBS) or  
        - CLL_F255_AR_INVOICE_ITEMS_V.RCTT_GLOBAL_ATTRIBUTE8 (for IBS)</t>
    </r>
  </si>
  <si>
    <r>
      <rPr>
        <sz val="12"/>
        <rFont val="Oracle Sans Tab"/>
        <family val="2"/>
        <scheme val="minor"/>
      </rPr>
      <t xml:space="preserve">CLL_F255_AR_TOTAL_INV_TAXES_V.ARVT_GLOBAL_ATTRIBUTE19, </t>
    </r>
    <r>
      <rPr>
        <sz val="12"/>
        <color theme="1"/>
        <rFont val="Oracle Sans Tab"/>
        <family val="2"/>
        <scheme val="minor"/>
      </rPr>
      <t>when CLL_F255_AR_TOTAL_INV_TAXES_V.ARVT_GLOBAL_ATTRIBUTE10 iqual to "CBS" or "IBS-UF" or "IBS-MUN"</t>
    </r>
  </si>
  <si>
    <r>
      <rPr>
        <sz val="12"/>
        <rFont val="Oracle Sans Tab"/>
        <family val="2"/>
        <scheme val="minor"/>
      </rPr>
      <t>CLL_F255_AR_TOTAL_INV_TAXES_V.ARVT_GLOBAL_ATTRIBUTE20,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"CBS" or "IBS-UF" or "IBS-MUN"</t>
    </r>
  </si>
  <si>
    <t>CLL_F255_AR_TOTAL_INV_TAXES_V.ZL_GLOBAL_ATTRIBUTE15 when CLL_F255_AR_TOTAL_INV_TAXES_V.ARVT_GLOBAL_ATTRIBUTE10 equal to "IBS-MUN"</t>
  </si>
  <si>
    <r>
      <rPr>
        <sz val="12"/>
        <rFont val="Oracle Sans Tab"/>
        <family val="2"/>
        <scheme val="minor"/>
      </rPr>
      <t>CLL_F255_AR_TOTAL_INV_TAXES_V.ARVT_GLOBAL_ATTRIBUTE13,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"IBS-UF"</t>
    </r>
  </si>
  <si>
    <t>CLL_F255_AR_TOTAL_INV_TAXES_V.ARVT_GLOBAL_ATTRIBUTE13 when CLL_F255_AR_TOTAL_INV_TAXES_V.ARVT_GLOBAL_ATTRIBUTE10 equal to "CBS"</t>
  </si>
  <si>
    <t>CLL_F255_AR_TOTAL_INV_TAXES_V.ZL_GLOBAL_ATTRIBUTE15 when CLL_F255_AR_TOTAL_INV_TAXES_V.ARVT_GLOBAL_ATTRIBUTE10 equal to "CBS"</t>
  </si>
  <si>
    <t>CLL_F255_AR_TOTAL_INV_TAXES_V.ZL_GLOBAL_ATTRIBUTE15 when CLL_F255_AR_TOTAL_INV_TAXES_V.ARVT_GLOBAL_ATTRIBUTE10 equal to "IBS-UF"</t>
  </si>
  <si>
    <r>
      <rPr>
        <sz val="12"/>
        <rFont val="Oracle Sans Tab"/>
        <family val="2"/>
        <scheme val="minor"/>
      </rPr>
      <t>CLL_F255_AR_TOTAL_INV_TAXES_V.ARVT_GLOBAL_ATTRIBUTE13,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"IBS-MUN"</t>
    </r>
  </si>
  <si>
    <r>
      <t xml:space="preserve">CLL_F255_AR_TOTAL_INV_TAXES_V.ARVT_GLOBAL_ATTRIBUTE14 when CLL_F255_AR_TOTAL_INV_TAXES_V.ARVT_GLOBAL_ATTRIBUTE10 equal to "IBS-MUN"
</t>
    </r>
    <r>
      <rPr>
        <b/>
        <sz val="12"/>
        <color theme="1"/>
        <rFont val="Oracle Sans Tab"/>
        <family val="2"/>
        <scheme val="minor"/>
      </rPr>
      <t>OBS: Considerar somente números</t>
    </r>
  </si>
  <si>
    <r>
      <t xml:space="preserve">CLL_F255_AR_TOTAL_INV_TAXES_V.ARVT_GLOBAL_ATTRIBUTE14 when CLL_F255_AR_TOTAL_INV_TAXES_V.ARVT_GLOBAL_ATTRIBUTE10 equal to "IBS-UF"
</t>
    </r>
    <r>
      <rPr>
        <b/>
        <sz val="12"/>
        <color theme="1"/>
        <rFont val="Oracle Sans Tab"/>
        <family val="2"/>
        <scheme val="minor"/>
      </rPr>
      <t>OBS: Considerar somente números</t>
    </r>
  </si>
  <si>
    <r>
      <t xml:space="preserve">CLL_F255_AR_TOTAL_INV_TAXES_V.ARVT_GLOBAL_ATTRIBUTE14 when CLL_F255_AR_TOTAL_INV_TAXES_V.ARVT_GLOBAL_ATTRIBUTE10 equal to "CBS"
</t>
    </r>
    <r>
      <rPr>
        <b/>
        <sz val="12"/>
        <color theme="1"/>
        <rFont val="Oracle Sans Tab"/>
        <family val="2"/>
        <scheme val="minor"/>
      </rPr>
      <t>OBS: Considerar somente números</t>
    </r>
  </si>
  <si>
    <t>VAT_Tributary_Situation for CBS, IBS and IS (CST)
"Tributacao Regular"</t>
  </si>
  <si>
    <t>VAT_Tax_Classification_Code for CBS, IBS and IS (ClassTrib)
"Tributacao Regular"</t>
  </si>
  <si>
    <r>
      <t xml:space="preserve">For emission FD, must to consider column: </t>
    </r>
    <r>
      <rPr>
        <b/>
        <sz val="12"/>
        <color rgb="FF2C5266"/>
        <rFont val="Oracle Sans"/>
        <family val="2"/>
      </rPr>
      <t>ARVT_GLOBAL_ATTRIBUTE19</t>
    </r>
    <r>
      <rPr>
        <sz val="12"/>
        <color rgb="FF2C5266"/>
        <rFont val="Oracle Sans"/>
        <family val="2"/>
      </rPr>
      <t xml:space="preserve"> in view: </t>
    </r>
    <r>
      <rPr>
        <b/>
        <sz val="12"/>
        <color rgb="FF2C5266"/>
        <rFont val="Oracle Sans"/>
        <family val="2"/>
      </rPr>
      <t>CLL_F255_AR_TOTAL_INV_TAXES_V</t>
    </r>
    <r>
      <rPr>
        <sz val="12"/>
        <color rgb="FF2C5266"/>
        <rFont val="Oracle Sans"/>
        <family val="2"/>
      </rPr>
      <t xml:space="preserve">:
Example: </t>
    </r>
    <r>
      <rPr>
        <sz val="12"/>
        <color rgb="FFFF0000"/>
        <rFont val="Oracle Sans"/>
        <family val="2"/>
      </rPr>
      <t>000</t>
    </r>
    <r>
      <rPr>
        <sz val="12"/>
        <color rgb="FF2C5266"/>
        <rFont val="Oracle Sans"/>
        <family val="2"/>
      </rPr>
      <t xml:space="preserve">
For identify the tax, use column: </t>
    </r>
    <r>
      <rPr>
        <b/>
        <sz val="12"/>
        <color rgb="FF2C5266"/>
        <rFont val="Oracle Sans"/>
        <family val="2"/>
      </rPr>
      <t>ARVT_GLOBAL_ATTRIBUTE10</t>
    </r>
  </si>
  <si>
    <r>
      <t xml:space="preserve">For emission FD, must to consider column: </t>
    </r>
    <r>
      <rPr>
        <b/>
        <sz val="12"/>
        <color rgb="FF2C5266"/>
        <rFont val="Oracle Sans"/>
        <family val="2"/>
      </rPr>
      <t>ARVT_GLOBAL_ATTRIBUTE20</t>
    </r>
    <r>
      <rPr>
        <sz val="12"/>
        <color rgb="FF2C5266"/>
        <rFont val="Oracle Sans"/>
        <family val="2"/>
      </rPr>
      <t xml:space="preserve"> in view: </t>
    </r>
    <r>
      <rPr>
        <b/>
        <sz val="12"/>
        <color rgb="FF2C5266"/>
        <rFont val="Oracle Sans"/>
        <family val="2"/>
      </rPr>
      <t>CLL_F255_AR_TOTAL_INV_TAXES_V</t>
    </r>
    <r>
      <rPr>
        <sz val="12"/>
        <color rgb="FF2C5266"/>
        <rFont val="Oracle Sans"/>
        <family val="2"/>
      </rPr>
      <t xml:space="preserve">:
Example: </t>
    </r>
    <r>
      <rPr>
        <sz val="12"/>
        <color rgb="FFFF0000"/>
        <rFont val="Oracle Sans"/>
        <family val="2"/>
      </rPr>
      <t>000001</t>
    </r>
    <r>
      <rPr>
        <sz val="12"/>
        <color rgb="FF2C5266"/>
        <rFont val="Oracle Sans"/>
        <family val="2"/>
      </rPr>
      <t xml:space="preserve">
For identify the tax, use column: </t>
    </r>
    <r>
      <rPr>
        <b/>
        <sz val="12"/>
        <color rgb="FF2C5266"/>
        <rFont val="Oracle Sans"/>
        <family val="2"/>
      </rPr>
      <t>ARVT_GLOBAL_ATTRIBUTE10</t>
    </r>
  </si>
  <si>
    <t>Codigo NBS</t>
  </si>
  <si>
    <t>Ind Op</t>
  </si>
  <si>
    <r>
      <rPr>
        <b/>
        <sz val="12"/>
        <color rgb="FF2C5266"/>
        <rFont val="Oracle Sans"/>
        <family val="2"/>
      </rPr>
      <t>Item Category: JLZZ_TAX_CITY_SERVICE_CODE</t>
    </r>
    <r>
      <rPr>
        <sz val="12"/>
        <color rgb="FF2C5266"/>
        <rFont val="Oracle Sans"/>
        <family val="2"/>
      </rPr>
      <t xml:space="preserve">
CLL_F255_INV_CATEGORY_ITEMS_V.CATEGORY_NAME when CATEGORY_SET_NAME = 'JLZZ_TAX_CITY_SERVICE_CODE'</t>
    </r>
  </si>
  <si>
    <r>
      <rPr>
        <b/>
        <sz val="12"/>
        <color rgb="FF2C5266"/>
        <rFont val="Oracle Sans"/>
        <family val="2"/>
      </rPr>
      <t>Item Category: JLZZ_TAX_INDOP</t>
    </r>
    <r>
      <rPr>
        <sz val="12"/>
        <color rgb="FF2C5266"/>
        <rFont val="Oracle Sans"/>
        <family val="2"/>
      </rPr>
      <t xml:space="preserve">
CLL_F255_INV_CATEGORY_ITEMS_V.CATEGORY_NAME when CATEGORY_SET_NAME = 'JLZZ_TAX_INDOP'</t>
    </r>
  </si>
  <si>
    <t xml:space="preserve">LC116 (RPS)
NFSe Nacional (DPS) - cTribMun </t>
  </si>
  <si>
    <t xml:space="preserve">Código Municipal (RPS)
NFSe Nacional (DPS) - cTribNac </t>
  </si>
  <si>
    <r>
      <rPr>
        <b/>
        <sz val="12"/>
        <color rgb="FF2C5266"/>
        <rFont val="Oracle Sans"/>
        <family val="2"/>
      </rPr>
      <t>Item GDF (JG_MTL_SYSTEM_ITEMS): Service Code</t>
    </r>
    <r>
      <rPr>
        <sz val="12"/>
        <color rgb="FF2C5266"/>
        <rFont val="Oracle Sans"/>
        <family val="2"/>
      </rPr>
      <t xml:space="preserve">
CLL_F255_INV_CATEGORY_ITEMS_V.ITEM_GLOBAL_ATTRIBUTE11</t>
    </r>
  </si>
  <si>
    <r>
      <rPr>
        <b/>
        <sz val="12"/>
        <color rgb="FF2C5266"/>
        <rFont val="Oracle Sans"/>
        <family val="2"/>
      </rPr>
      <t>Item GDF (JG_MTL_SYSTEM_ITEMS): Service Nomenclature Code</t>
    </r>
    <r>
      <rPr>
        <sz val="12"/>
        <color rgb="FF2C5266"/>
        <rFont val="Oracle Sans"/>
        <family val="2"/>
      </rPr>
      <t xml:space="preserve">
CLL_F255_INV_CATEGORY_ITEMS_V.ITEM_GLOBAL_ATTRIBUTE20</t>
    </r>
  </si>
  <si>
    <r>
      <rPr>
        <strike/>
        <sz val="12"/>
        <color rgb="FFFF0000"/>
        <rFont val="Oracle Sans Tab"/>
        <scheme val="minor"/>
      </rPr>
      <t xml:space="preserve">CLL_F255_AR_TOTAL_INV_TAXES_V.TAXABLE_AMOUNT </t>
    </r>
    <r>
      <rPr>
        <sz val="12"/>
        <color theme="1"/>
        <rFont val="Oracle Sans Tab"/>
        <family val="2"/>
        <scheme val="minor"/>
      </rPr>
      <t xml:space="preserve">
CLL_F255_AR_TOTAL_INV_TAXES_V.TAXABLE_AMT when CLL_F255_AR_TOTAL_INV_TAXES_V.ARVT_GLOBAL_ATTRIBUTE10 iqual to "CBS" or "IBS-UF" or "IBS-MUN"</t>
    </r>
  </si>
  <si>
    <r>
      <rPr>
        <strike/>
        <sz val="12"/>
        <color rgb="FFFF0000"/>
        <rFont val="Oracle Sans Tab"/>
        <scheme val="minor"/>
      </rPr>
      <t>CLL_F255_AR_TOTAL_INV_TAXES_V.TAXABLE_AMOUNT</t>
    </r>
    <r>
      <rPr>
        <sz val="12"/>
        <color theme="1"/>
        <rFont val="Oracle Sans Tab"/>
        <family val="2"/>
        <scheme val="minor"/>
      </rPr>
      <t xml:space="preserve"> 
CLL_F255_AR_TOTAL_INV_TAXES_V.TAXABLE_AMT when CLL_F255_AR_TOTAL_INV_TAXES_V.ARVT_GLOBAL_ATTRIBUTE10 iqual to "CBS" or "IBS-UF" or "IBS-MUN"</t>
    </r>
  </si>
  <si>
    <t>vIBSMun</t>
  </si>
  <si>
    <t>vIBSUF</t>
  </si>
  <si>
    <t>vCBS</t>
  </si>
  <si>
    <t>vBC</t>
  </si>
  <si>
    <t>pIBSMun</t>
  </si>
  <si>
    <t xml:space="preserve">pDif </t>
  </si>
  <si>
    <t>vDif</t>
  </si>
  <si>
    <t>pRedTrib</t>
  </si>
  <si>
    <t xml:space="preserve">pAliqEft </t>
  </si>
  <si>
    <t>pIBSUF</t>
  </si>
  <si>
    <t xml:space="preserve">vDif </t>
  </si>
  <si>
    <t xml:space="preserve">pRedTrib </t>
  </si>
  <si>
    <t>pCBS</t>
  </si>
  <si>
    <t>pAliqEft</t>
  </si>
  <si>
    <t xml:space="preserve">pIBSMun </t>
  </si>
  <si>
    <t>pDif</t>
  </si>
  <si>
    <t xml:space="preserve">pCBS </t>
  </si>
  <si>
    <t xml:space="preserve">pIBSUF </t>
  </si>
  <si>
    <t xml:space="preserve">vIBSUF </t>
  </si>
  <si>
    <t xml:space="preserve">vCBS </t>
  </si>
  <si>
    <r>
      <rPr>
        <strike/>
        <sz val="12"/>
        <color rgb="FFFF0000"/>
        <rFont val="Oracle Sans Tab"/>
        <scheme val="minor"/>
      </rPr>
      <t xml:space="preserve">CLL_F255_AR_TOTAL_INV_TAXES_V.TAXABLE_AMOUNT
</t>
    </r>
    <r>
      <rPr>
        <sz val="12"/>
        <color theme="1"/>
        <rFont val="Oracle Sans Tab"/>
        <family val="2"/>
        <scheme val="minor"/>
      </rPr>
      <t>CLL_F255_AR_TOTAL_INV_TAXES_V.TAXABLE_AMT when CLL_F255_AR_TOTAL_INV_TAXES_V.ARVT_GLOBAL_ATTRIBUTE10 iqual to "CBS" or "IBS-UF" or "IBS-MUN"</t>
    </r>
  </si>
  <si>
    <r>
      <rPr>
        <strike/>
        <sz val="12"/>
        <color rgb="FFFF0000"/>
        <rFont val="Oracle Sans Tab"/>
        <scheme val="minor"/>
      </rPr>
      <t>CLL_F255_AR_TOTAL_INV_TAXES_V.ARVT_GLOBAL_ATTRIBUTE13</t>
    </r>
    <r>
      <rPr>
        <sz val="12"/>
        <rFont val="Oracle Sans Tab"/>
        <family val="2"/>
        <scheme val="minor"/>
      </rPr>
      <t xml:space="preserve">
CLL_F255_AR_TOTAL_INV_TAXES_V.TAX_RATE,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"IBS-MUN"</t>
    </r>
  </si>
  <si>
    <r>
      <rPr>
        <strike/>
        <sz val="12"/>
        <color rgb="FFFF0000"/>
        <rFont val="Oracle Sans Tab"/>
        <scheme val="minor"/>
      </rPr>
      <t>CLL_F255_AR_TOTAL_INV_TAXES_V.ARVT_GLOBAL_ATTRIBUTE13</t>
    </r>
    <r>
      <rPr>
        <sz val="12"/>
        <rFont val="Oracle Sans Tab"/>
        <family val="2"/>
        <scheme val="minor"/>
      </rPr>
      <t xml:space="preserve">
CLL_F255_AR_TOTAL_INV_TAXES_V.TAX_RATE,</t>
    </r>
    <r>
      <rPr>
        <sz val="12"/>
        <color theme="1"/>
        <rFont val="Oracle Sans Tab"/>
        <family val="2"/>
        <scheme val="minor"/>
      </rPr>
      <t xml:space="preserve"> when CLL_F255_AR_TOTAL_INV_TAXES_V.ARVT_GLOBAL_ATTRIBUTE10 iqual to "IBS-UF"</t>
    </r>
  </si>
  <si>
    <t>CBS</t>
  </si>
  <si>
    <t>IBS-MUN</t>
  </si>
  <si>
    <t>IBS-UF</t>
  </si>
  <si>
    <t>ZL_GLOBAL_ATTRIBUTE13</t>
  </si>
  <si>
    <t>ZL_GLOBAL_ATTRIBUTE14</t>
  </si>
  <si>
    <t>TAXABLE_AMT</t>
  </si>
  <si>
    <t>TAX_RATE</t>
  </si>
  <si>
    <t>TAX_AMOUNT</t>
  </si>
  <si>
    <t>ARVT_GLOBAL_ATTRIBUTE14</t>
  </si>
  <si>
    <t>-</t>
  </si>
  <si>
    <t>ARVT_GLOBAL_ATTRIBUTE13</t>
  </si>
  <si>
    <t>REGULAR</t>
  </si>
  <si>
    <t>ARVT_GLOBAL_ATTRIBUTE19</t>
  </si>
  <si>
    <t>ARVT_GLOBAL_ATTRIBUTE20</t>
  </si>
  <si>
    <t>ZL_GLOBAL_ATTRIBUTE15</t>
  </si>
  <si>
    <r>
      <t xml:space="preserve">CLL_F255_AR_TOTAL_INV_TAXES_V.ARVT_GLOBAL_ATTRIBUTE14 when CLL_F255_AR_TOTAL_INV_TAXES_V.ARVT_GLOBAL_ATTRIBUTE10 equal to "IBS-MUN"
</t>
    </r>
    <r>
      <rPr>
        <b/>
        <sz val="12"/>
        <color theme="1"/>
        <rFont val="Oracle Sans Tab"/>
        <family val="2"/>
        <scheme val="minor"/>
      </rPr>
      <t xml:space="preserve">Validations: 
1) Considerer only numbers
</t>
    </r>
    <r>
      <rPr>
        <b/>
        <strike/>
        <sz val="12"/>
        <color rgb="FFFF0000"/>
        <rFont val="Oracle Sans Tab"/>
        <scheme val="minor"/>
      </rPr>
      <t>2) If &lt;pIBSMun&gt; tag has origin in CLL_F255_AR_TOTAL_INV_TAXES_V.TAX_RATE field and, this tag: &lt;pDif&gt; is filled, then the Taxation is Deferred else is Full</t>
    </r>
    <r>
      <rPr>
        <b/>
        <sz val="12"/>
        <color theme="1"/>
        <rFont val="Oracle Sans Tab"/>
        <family val="2"/>
        <scheme val="minor"/>
      </rPr>
      <t xml:space="preserve">
2) Rule for identify if taxation is Deferred or Full:
     * DEFERRED:
        - &lt;pIBSMun&gt; tag has origin in CLL_F255_AR_TOTAL_INV_TAXES_V.TAX_RATE field 
        - ARVT_GLOBAL_ATTRIBUTE20 is equal to ZL_GLOBAL_ATTRIBUTE14
        - this tag: &lt;pDif&gt; (ARVT_GLOBAL_ATTRIBUTE14) is filled
     * FULL:
        - &lt;pIBSMun&gt; tag has origin in CLL_F255_AR_TOTAL_INV_TAXES_V.TAX_RATE field 
        - ARVT_GLOBAL_ATTRIBUTE20 is equal to ZL_GLOBAL_ATTRIBUTE14
        - this tag: &lt;pDif&gt; (ARVT_GLOBAL_ATTRIBUTE14) is null</t>
    </r>
  </si>
  <si>
    <r>
      <t xml:space="preserve">CLL_F255_AR_TOTAL_INV_TAXES_V.ARVT_GLOBAL_ATTRIBUTE14 when CLL_F255_AR_TOTAL_INV_TAXES_V.ARVT_GLOBAL_ATTRIBUTE10 equal to "IBS-UF"
</t>
    </r>
    <r>
      <rPr>
        <b/>
        <sz val="12"/>
        <color theme="1"/>
        <rFont val="Oracle Sans Tab"/>
        <family val="2"/>
        <scheme val="minor"/>
      </rPr>
      <t xml:space="preserve">Validations: 
1) Considerer only numbers
</t>
    </r>
    <r>
      <rPr>
        <b/>
        <strike/>
        <sz val="12"/>
        <color rgb="FFFF0000"/>
        <rFont val="Oracle Sans Tab"/>
        <scheme val="minor"/>
      </rPr>
      <t>2) If &lt;pIBSMun&gt; tag has origin in CLL_F255_AR_TOTAL_INV_TAXES_V.TAX_RATE field and, this tag: &lt;pDif&gt; is filled, then the Taxation is Deferred else is Full</t>
    </r>
    <r>
      <rPr>
        <b/>
        <sz val="12"/>
        <color theme="1"/>
        <rFont val="Oracle Sans Tab"/>
        <family val="2"/>
        <scheme val="minor"/>
      </rPr>
      <t xml:space="preserve">
2) Rule for identify if taxation is Deferred or Full:
     * DEFERRED:
        - &lt;pIBSUF&gt; tag has origin in CLL_F255_AR_TOTAL_INV_TAXES_V.TAX_RATE field 
        - ARVT_GLOBAL_ATTRIBUTE20 is equal to ZL_GLOBAL_ATTRIBUTE14
        - this tag: &lt;pDif&gt; (ARVT_GLOBAL_ATTRIBUTE14) is filled
     * FULL:
        - &lt;pIBSUF&gt; tag has origin in CLL_F255_AR_TOTAL_INV_TAXES_V.TAX_RATE field 
        - ARVT_GLOBAL_ATTRIBUTE20 is equal to ZL_GLOBAL_ATTRIBUTE14
        - this tag: &lt;pDif&gt; (ARVT_GLOBAL_ATTRIBUTE14) is null</t>
    </r>
  </si>
  <si>
    <r>
      <t xml:space="preserve">CLL_F255_AR_TOTAL_INV_TAXES_V.ARVT_GLOBAL_ATTRIBUTE14 when CLL_F255_AR_TOTAL_INV_TAXES_V.ARVT_GLOBAL_ATTRIBUTE10 equal to "CBS"
</t>
    </r>
    <r>
      <rPr>
        <b/>
        <sz val="12"/>
        <color theme="1"/>
        <rFont val="Oracle Sans Tab"/>
        <family val="2"/>
        <scheme val="minor"/>
      </rPr>
      <t xml:space="preserve">Validations: 
1) Considerer only numbers
</t>
    </r>
    <r>
      <rPr>
        <b/>
        <strike/>
        <sz val="12"/>
        <color rgb="FFFF0000"/>
        <rFont val="Oracle Sans Tab"/>
        <scheme val="minor"/>
      </rPr>
      <t>2) If &lt;pIBSMun&gt; tag has origin in CLL_F255_AR_TOTAL_INV_TAXES_V.TAX_RATE field and, this tag: &lt;pDif&gt; is filled, then the Taxation is Deferred else is Full</t>
    </r>
    <r>
      <rPr>
        <b/>
        <sz val="12"/>
        <color theme="1"/>
        <rFont val="Oracle Sans Tab"/>
        <family val="2"/>
        <scheme val="minor"/>
      </rPr>
      <t xml:space="preserve">
2) Rule for identify if taxation is Deferred or Full:
     * DEFERRED:
        - &lt;pIBSUF&gt; tag has origin in CLL_F255_AR_TOTAL_INV_TAXES_V.TAX_RATE field 
        - ARVT_GLOBAL_ATTRIBUTE20 is equal to ZL_GLOBAL_ATTRIBUTE14
        - this tag: &lt;pDif&gt; (ARVT_GLOBAL_ATTRIBUTE14) is filled
     * FULL:
        - &lt;pIBSUF&gt; tag has origin in CLL_F255_AR_TOTAL_INV_TAXES_V.TAX_RATE field 
        - ARVT_GLOBAL_ATTRIBUTE20 is equal to ZL_GLOBAL_ATTRIBUTE14
        - this tag: &lt;pDif&gt; (ARVT_GLOBAL_ATTRIBUTE14) is null</t>
    </r>
  </si>
  <si>
    <t>Full Taxation</t>
  </si>
  <si>
    <t>Deferred</t>
  </si>
  <si>
    <t>Tax Rate Reduction</t>
  </si>
  <si>
    <t>- Correct mapping of &lt;vBC&gt; tag in all scenarios
- Correct rule to defined if Taxation is Full or Deferred in &lt;pDif&gt; tag
- Correct mapping of &lt;pIBSMun&gt;and &lt;pIBSUF&gt; tags in Suspended Taxation scenario
- Create Consolidated Mapping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</si>
</sst>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0.0000%"/>
    <numFmt numFmtId="166" formatCode="0.0%"/>
    <numFmt numFmtId="167" formatCode="0.000%"/>
  </numFmts>
  <fonts count="50">
    <font>
      <sz val="10"/>
      <color theme="1"/>
      <name val="Oracle Sans Tab"/>
      <family val="2"/>
      <scheme val="minor"/>
    </font>
    <font>
      <sz val="10"/>
      <color theme="1"/>
      <name val="Oracle Sans Tab"/>
      <family val="2"/>
      <scheme val="minor"/>
    </font>
    <font>
      <sz val="10"/>
      <color rgb="FF9C0006"/>
      <name val="Oracle Sans Tab"/>
      <family val="2"/>
      <scheme val="minor"/>
    </font>
    <font>
      <sz val="10"/>
      <color rgb="FF006100"/>
      <name val="Oracle Sans Tab"/>
      <family val="2"/>
      <scheme val="minor"/>
    </font>
    <font>
      <sz val="10"/>
      <color rgb="FF9C5700"/>
      <name val="Oracle Sans Tab"/>
      <family val="2"/>
      <scheme val="minor"/>
    </font>
    <font>
      <b/>
      <sz val="10"/>
      <color rgb="FFFA7D00"/>
      <name val="Oracle Sans Tab"/>
      <family val="2"/>
      <scheme val="minor"/>
    </font>
    <font>
      <b/>
      <sz val="10"/>
      <color theme="0"/>
      <name val="Oracle Sans Tab"/>
      <family val="2"/>
      <scheme val="minor"/>
    </font>
    <font>
      <i/>
      <sz val="10"/>
      <color rgb="FF7F7F7F"/>
      <name val="Oracle Sans Tab"/>
      <family val="2"/>
      <scheme val="minor"/>
    </font>
    <font>
      <sz val="10"/>
      <color rgb="FF3F3F76"/>
      <name val="Oracle Sans Tab"/>
      <family val="2"/>
      <scheme val="minor"/>
    </font>
    <font>
      <sz val="10"/>
      <color rgb="FFFA7D00"/>
      <name val="Oracle Sans Tab"/>
      <family val="2"/>
      <scheme val="minor"/>
    </font>
    <font>
      <b/>
      <sz val="13"/>
      <color theme="3"/>
      <name val="Oracle Sans Tab"/>
      <family val="2"/>
      <scheme val="minor"/>
    </font>
    <font>
      <b/>
      <sz val="10"/>
      <color theme="1"/>
      <name val="Oracle Sans Tab"/>
      <family val="2"/>
      <scheme val="minor"/>
    </font>
    <font>
      <b/>
      <sz val="10"/>
      <color rgb="FF3F3F3F"/>
      <name val="Oracle Sans Tab"/>
      <family val="2"/>
      <scheme val="minor"/>
    </font>
    <font>
      <sz val="10"/>
      <color rgb="FFFF0000"/>
      <name val="Oracle Sans Tab"/>
      <family val="2"/>
      <scheme val="minor"/>
    </font>
    <font>
      <b/>
      <sz val="15"/>
      <color theme="3"/>
      <name val="Oracle Sans Tab"/>
      <family val="2"/>
      <scheme val="minor"/>
    </font>
    <font>
      <b/>
      <sz val="11"/>
      <color theme="3"/>
      <name val="Oracle Sans Tab"/>
      <family val="2"/>
      <scheme val="minor"/>
    </font>
    <font>
      <sz val="18"/>
      <color theme="3"/>
      <name val="Oracle Sans Tab"/>
      <family val="2"/>
      <scheme val="minor"/>
    </font>
    <font>
      <sz val="10"/>
      <name val="Oracle Sans Tab"/>
      <family val="2"/>
      <scheme val="minor"/>
    </font>
    <font>
      <sz val="10"/>
      <color theme="0"/>
      <name val="Oracle Sans Tab"/>
      <family val="2"/>
      <scheme val="minor"/>
    </font>
    <font>
      <b/>
      <sz val="12"/>
      <color theme="1"/>
      <name val="Oracle Sans Tab"/>
      <family val="2"/>
      <scheme val="minor"/>
    </font>
    <font>
      <sz val="12"/>
      <color theme="1"/>
      <name val="Oracle Sans Tab"/>
      <family val="2"/>
      <scheme val="minor"/>
    </font>
    <font>
      <sz val="12"/>
      <color theme="1"/>
      <name val="Oracle Sans Tab"/>
      <family val="2"/>
      <scheme val="minor"/>
    </font>
    <font>
      <b/>
      <sz val="12"/>
      <color theme="0"/>
      <name val="Oracle Sans Tab"/>
      <family val="2"/>
      <scheme val="minor"/>
    </font>
    <font>
      <sz val="12"/>
      <color rgb="FFFF0000"/>
      <name val="Oracle Sans Tab"/>
      <family val="2"/>
      <scheme val="minor"/>
    </font>
    <font>
      <b/>
      <sz val="16"/>
      <color rgb="FF61808E"/>
      <name val="Oracle Sans Tab"/>
      <family val="2"/>
      <scheme val="minor"/>
    </font>
    <font>
      <b/>
      <sz val="16"/>
      <color rgb="FF8AADBF"/>
      <name val="Oracle Sans Tab"/>
      <family val="2"/>
      <scheme val="minor"/>
    </font>
    <font>
      <sz val="11"/>
      <color rgb="FF939699"/>
      <name val="Oracle Sans Tab"/>
      <family val="2"/>
      <scheme val="minor"/>
    </font>
    <font>
      <sz val="11"/>
      <color indexed="56"/>
      <name val="Oracle Sans"/>
      <family val="2"/>
    </font>
    <font>
      <b/>
      <sz val="20"/>
      <color rgb="FF94AFAF"/>
      <name val="Oracle Sans Tab"/>
      <family val="2"/>
      <scheme val="minor"/>
    </font>
    <font>
      <b/>
      <sz val="20"/>
      <color rgb="FF2C5967"/>
      <name val="Oracle Sans Tab"/>
      <family val="2"/>
      <scheme val="minor"/>
    </font>
    <font>
      <sz val="11"/>
      <color theme="1"/>
      <name val="Oracle Sans"/>
      <family val="2"/>
    </font>
    <font>
      <b/>
      <sz val="20"/>
      <color rgb="FF324B5C"/>
      <name val="Oracle Sans Tab"/>
      <family val="2"/>
      <scheme val="minor"/>
    </font>
    <font>
      <sz val="11"/>
      <color theme="7"/>
      <name val="Oracle Sans"/>
      <family val="2"/>
    </font>
    <font>
      <sz val="28"/>
      <color rgb="FFC74634"/>
      <name val="Oracle Sans"/>
      <family val="2"/>
    </font>
    <font>
      <b/>
      <sz val="12"/>
      <color rgb="FF2C5266"/>
      <name val="Oracle Sans"/>
      <family val="2"/>
    </font>
    <font>
      <b/>
      <sz val="20"/>
      <color rgb="FF2C5266"/>
      <name val="Oracle Sans"/>
      <family val="2"/>
    </font>
    <font>
      <b/>
      <sz val="48"/>
      <color rgb="FF2C5266"/>
      <name val="Georgia"/>
      <family val="1"/>
    </font>
    <font>
      <sz val="12"/>
      <color rgb="FF2C5266"/>
      <name val="Oracle Sans"/>
      <family val="2"/>
    </font>
    <font>
      <b/>
      <sz val="12"/>
      <color theme="0"/>
      <name val="Oracle Sans"/>
      <family val="2"/>
    </font>
    <font>
      <sz val="12"/>
      <color rgb="FFFF0000"/>
      <name val="Oracle Sans"/>
      <family val="2"/>
    </font>
    <font>
      <u/>
      <sz val="10"/>
      <color theme="10"/>
      <name val="Oracle Sans Tab"/>
      <family val="2"/>
      <scheme val="minor"/>
    </font>
    <font>
      <b/>
      <sz val="12"/>
      <color rgb="FFFF0000"/>
      <name val="Oracle Sans"/>
      <family val="2"/>
    </font>
    <font>
      <strike/>
      <sz val="12"/>
      <color rgb="FFFF0000"/>
      <name val="Oracle Sans Tab"/>
      <family val="2"/>
      <scheme val="minor"/>
    </font>
    <font>
      <sz val="12"/>
      <name val="Oracle Sans Tab"/>
      <family val="2"/>
      <scheme val="minor"/>
    </font>
    <font>
      <strike/>
      <sz val="12"/>
      <color rgb="FFFF0000"/>
      <name val="Oracle Sans Tab"/>
      <scheme val="minor"/>
    </font>
    <font>
      <sz val="12"/>
      <color theme="1"/>
      <name val="Oracle Sans Tab"/>
      <scheme val="minor"/>
    </font>
    <font>
      <b/>
      <strike/>
      <sz val="12"/>
      <color rgb="FFFF0000"/>
      <name val="Oracle Sans Tab"/>
      <scheme val="minor"/>
    </font>
    <font>
      <b/>
      <sz val="11"/>
      <color theme="1"/>
      <name val="Oracle Sans Tab"/>
      <scheme val="minor"/>
    </font>
    <font>
      <b/>
      <sz val="11"/>
      <color theme="0"/>
      <name val="Oracle Sans Tab"/>
      <scheme val="minor"/>
    </font>
    <font>
      <sz val="11"/>
      <color theme="1"/>
      <name val="Oracle Sans Tab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81B2C3"/>
        <bgColor indexed="64"/>
      </patternFill>
    </fill>
    <fill>
      <patternFill patternType="solid">
        <fgColor rgb="FF2C5266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6">
    <xf numFmtId="0" fontId="0" fillId="0" borderId="0"/>
    <xf numFmtId="0" fontId="16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0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8" fillId="5" borderId="4" applyNumberFormat="0" applyAlignment="0" applyProtection="0"/>
    <xf numFmtId="0" fontId="12" fillId="6" borderId="5" applyNumberFormat="0" applyAlignment="0" applyProtection="0"/>
    <xf numFmtId="0" fontId="5" fillId="6" borderId="4" applyNumberFormat="0" applyAlignment="0" applyProtection="0"/>
    <xf numFmtId="0" fontId="9" fillId="0" borderId="6" applyNumberFormat="0" applyFill="0" applyAlignment="0" applyProtection="0"/>
    <xf numFmtId="0" fontId="6" fillId="7" borderId="7" applyNumberFormat="0" applyAlignment="0" applyProtection="0"/>
    <xf numFmtId="0" fontId="13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8" fillId="8" borderId="0" applyNumberFormat="0" applyBorder="0" applyAlignment="0" applyProtection="0"/>
    <xf numFmtId="0" fontId="1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7" fillId="13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0" fillId="0" borderId="0" applyNumberFormat="0" applyFill="0" applyBorder="0" applyAlignment="0" applyProtection="0"/>
  </cellStyleXfs>
  <cellXfs count="116">
    <xf numFmtId="0" fontId="0" fillId="0" borderId="0" xfId="0"/>
    <xf numFmtId="0" fontId="21" fillId="0" borderId="0" xfId="0" applyFont="1"/>
    <xf numFmtId="0" fontId="0" fillId="16" borderId="11" xfId="0" applyFill="1" applyBorder="1"/>
    <xf numFmtId="0" fontId="0" fillId="0" borderId="11" xfId="0" applyBorder="1"/>
    <xf numFmtId="0" fontId="0" fillId="0" borderId="11" xfId="0" applyBorder="1" applyAlignment="1">
      <alignment horizontal="left"/>
    </xf>
    <xf numFmtId="0" fontId="0" fillId="16" borderId="11" xfId="0" applyFill="1" applyBorder="1" applyAlignment="1">
      <alignment horizontal="left"/>
    </xf>
    <xf numFmtId="0" fontId="0" fillId="16" borderId="0" xfId="0" applyFill="1"/>
    <xf numFmtId="0" fontId="24" fillId="16" borderId="11" xfId="0" applyFont="1" applyFill="1" applyBorder="1"/>
    <xf numFmtId="0" fontId="25" fillId="16" borderId="11" xfId="0" applyFont="1" applyFill="1" applyBorder="1" applyAlignment="1">
      <alignment horizontal="left"/>
    </xf>
    <xf numFmtId="0" fontId="26" fillId="0" borderId="14" xfId="0" applyFont="1" applyBorder="1"/>
    <xf numFmtId="0" fontId="26" fillId="0" borderId="11" xfId="0" applyFont="1" applyBorder="1"/>
    <xf numFmtId="0" fontId="0" fillId="0" borderId="12" xfId="0" applyBorder="1"/>
    <xf numFmtId="0" fontId="0" fillId="0" borderId="14" xfId="0" applyBorder="1"/>
    <xf numFmtId="0" fontId="27" fillId="16" borderId="16" xfId="0" applyFont="1" applyFill="1" applyBorder="1"/>
    <xf numFmtId="0" fontId="30" fillId="0" borderId="18" xfId="0" applyFont="1" applyBorder="1" applyAlignment="1">
      <alignment horizontal="left" indent="1"/>
    </xf>
    <xf numFmtId="0" fontId="30" fillId="0" borderId="19" xfId="0" applyFont="1" applyBorder="1" applyAlignment="1">
      <alignment horizontal="left" indent="1"/>
    </xf>
    <xf numFmtId="0" fontId="30" fillId="0" borderId="20" xfId="0" applyFont="1" applyBorder="1" applyAlignment="1">
      <alignment horizontal="left" indent="1"/>
    </xf>
    <xf numFmtId="0" fontId="0" fillId="16" borderId="14" xfId="0" applyFill="1" applyBorder="1"/>
    <xf numFmtId="15" fontId="30" fillId="0" borderId="23" xfId="0" applyNumberFormat="1" applyFont="1" applyBorder="1" applyAlignment="1">
      <alignment horizontal="left" indent="1"/>
    </xf>
    <xf numFmtId="0" fontId="30" fillId="0" borderId="24" xfId="0" applyFont="1" applyBorder="1" applyAlignment="1">
      <alignment horizontal="left" indent="1"/>
    </xf>
    <xf numFmtId="0" fontId="30" fillId="0" borderId="25" xfId="0" applyFont="1" applyBorder="1" applyAlignment="1">
      <alignment horizontal="left" indent="1"/>
    </xf>
    <xf numFmtId="0" fontId="32" fillId="0" borderId="23" xfId="0" applyFont="1" applyBorder="1" applyAlignment="1">
      <alignment horizontal="left" indent="1"/>
    </xf>
    <xf numFmtId="0" fontId="32" fillId="0" borderId="24" xfId="0" applyFont="1" applyBorder="1" applyAlignment="1">
      <alignment horizontal="left" indent="1"/>
    </xf>
    <xf numFmtId="0" fontId="32" fillId="0" borderId="29" xfId="0" applyFont="1" applyBorder="1" applyAlignment="1">
      <alignment horizontal="left" indent="1"/>
    </xf>
    <xf numFmtId="0" fontId="0" fillId="0" borderId="26" xfId="0" applyBorder="1"/>
    <xf numFmtId="0" fontId="20" fillId="0" borderId="9" xfId="0" quotePrefix="1" applyFont="1" applyBorder="1" applyAlignment="1">
      <alignment vertical="center"/>
    </xf>
    <xf numFmtId="0" fontId="30" fillId="0" borderId="24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4" fillId="16" borderId="15" xfId="0" applyFont="1" applyFill="1" applyBorder="1"/>
    <xf numFmtId="0" fontId="36" fillId="16" borderId="13" xfId="0" applyFont="1" applyFill="1" applyBorder="1" applyAlignment="1">
      <alignment horizontal="left" vertical="top"/>
    </xf>
    <xf numFmtId="0" fontId="36" fillId="16" borderId="14" xfId="0" applyFont="1" applyFill="1" applyBorder="1" applyAlignment="1">
      <alignment horizontal="left" vertical="top"/>
    </xf>
    <xf numFmtId="0" fontId="34" fillId="16" borderId="14" xfId="0" applyFont="1" applyFill="1" applyBorder="1" applyAlignment="1">
      <alignment vertical="center" wrapText="1"/>
    </xf>
    <xf numFmtId="0" fontId="20" fillId="0" borderId="0" xfId="0" applyFont="1"/>
    <xf numFmtId="0" fontId="37" fillId="16" borderId="9" xfId="0" applyFont="1" applyFill="1" applyBorder="1" applyAlignment="1">
      <alignment vertical="center" wrapText="1"/>
    </xf>
    <xf numFmtId="0" fontId="38" fillId="15" borderId="15" xfId="0" applyFont="1" applyFill="1" applyBorder="1" applyAlignment="1">
      <alignment vertical="center" wrapText="1"/>
    </xf>
    <xf numFmtId="0" fontId="34" fillId="16" borderId="15" xfId="0" applyFont="1" applyFill="1" applyBorder="1" applyAlignment="1">
      <alignment vertical="center" wrapText="1"/>
    </xf>
    <xf numFmtId="0" fontId="34" fillId="16" borderId="17" xfId="0" applyFont="1" applyFill="1" applyBorder="1" applyAlignment="1">
      <alignment vertical="center" wrapText="1"/>
    </xf>
    <xf numFmtId="0" fontId="20" fillId="0" borderId="9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9" fillId="14" borderId="9" xfId="0" applyFont="1" applyFill="1" applyBorder="1" applyAlignment="1">
      <alignment vertical="center"/>
    </xf>
    <xf numFmtId="0" fontId="22" fillId="15" borderId="10" xfId="0" applyFont="1" applyFill="1" applyBorder="1" applyAlignment="1">
      <alignment vertical="center"/>
    </xf>
    <xf numFmtId="0" fontId="30" fillId="0" borderId="23" xfId="0" applyFont="1" applyBorder="1" applyAlignment="1">
      <alignment horizontal="left" indent="1"/>
    </xf>
    <xf numFmtId="0" fontId="30" fillId="0" borderId="27" xfId="0" applyFont="1" applyBorder="1" applyAlignment="1">
      <alignment horizontal="left" indent="1"/>
    </xf>
    <xf numFmtId="0" fontId="30" fillId="0" borderId="28" xfId="0" applyFont="1" applyBorder="1" applyAlignment="1">
      <alignment horizontal="left" indent="1"/>
    </xf>
    <xf numFmtId="0" fontId="30" fillId="0" borderId="28" xfId="0" applyFont="1" applyBorder="1" applyAlignment="1">
      <alignment horizontal="center"/>
    </xf>
    <xf numFmtId="0" fontId="30" fillId="0" borderId="29" xfId="0" applyFont="1" applyBorder="1" applyAlignment="1">
      <alignment horizontal="left" indent="1"/>
    </xf>
    <xf numFmtId="0" fontId="40" fillId="0" borderId="12" xfId="25" applyBorder="1"/>
    <xf numFmtId="164" fontId="20" fillId="0" borderId="9" xfId="23" applyFont="1" applyBorder="1" applyAlignment="1">
      <alignment vertical="center"/>
    </xf>
    <xf numFmtId="164" fontId="20" fillId="14" borderId="9" xfId="23" applyFont="1" applyFill="1" applyBorder="1" applyAlignment="1">
      <alignment vertical="center"/>
    </xf>
    <xf numFmtId="10" fontId="20" fillId="0" borderId="9" xfId="0" applyNumberFormat="1" applyFont="1" applyBorder="1" applyAlignment="1">
      <alignment vertical="center"/>
    </xf>
    <xf numFmtId="9" fontId="20" fillId="0" borderId="9" xfId="0" applyNumberFormat="1" applyFont="1" applyBorder="1" applyAlignment="1">
      <alignment vertical="center"/>
    </xf>
    <xf numFmtId="165" fontId="20" fillId="0" borderId="9" xfId="0" applyNumberFormat="1" applyFont="1" applyBorder="1" applyAlignment="1">
      <alignment vertical="center"/>
    </xf>
    <xf numFmtId="164" fontId="19" fillId="0" borderId="9" xfId="23" quotePrefix="1" applyFont="1" applyBorder="1" applyAlignment="1">
      <alignment vertical="center"/>
    </xf>
    <xf numFmtId="0" fontId="20" fillId="14" borderId="9" xfId="0" quotePrefix="1" applyFont="1" applyFill="1" applyBorder="1" applyAlignment="1">
      <alignment vertical="center"/>
    </xf>
    <xf numFmtId="10" fontId="20" fillId="0" borderId="9" xfId="24" quotePrefix="1" applyNumberFormat="1" applyFont="1" applyBorder="1" applyAlignment="1">
      <alignment vertical="center"/>
    </xf>
    <xf numFmtId="164" fontId="19" fillId="0" borderId="9" xfId="0" quotePrefix="1" applyNumberFormat="1" applyFont="1" applyBorder="1" applyAlignment="1">
      <alignment vertical="center"/>
    </xf>
    <xf numFmtId="0" fontId="20" fillId="14" borderId="9" xfId="0" applyFont="1" applyFill="1" applyBorder="1" applyAlignment="1">
      <alignment vertical="center"/>
    </xf>
    <xf numFmtId="164" fontId="20" fillId="0" borderId="9" xfId="0" applyNumberFormat="1" applyFont="1" applyBorder="1" applyAlignment="1">
      <alignment vertical="center"/>
    </xf>
    <xf numFmtId="166" fontId="20" fillId="0" borderId="9" xfId="24" applyNumberFormat="1" applyFont="1" applyBorder="1" applyAlignment="1">
      <alignment vertical="center"/>
    </xf>
    <xf numFmtId="0" fontId="20" fillId="0" borderId="9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10" fontId="20" fillId="0" borderId="9" xfId="0" quotePrefix="1" applyNumberFormat="1" applyFont="1" applyBorder="1" applyAlignment="1">
      <alignment vertical="center"/>
    </xf>
    <xf numFmtId="164" fontId="20" fillId="0" borderId="9" xfId="0" quotePrefix="1" applyNumberFormat="1" applyFont="1" applyBorder="1" applyAlignment="1">
      <alignment vertical="center"/>
    </xf>
    <xf numFmtId="0" fontId="0" fillId="0" borderId="0" xfId="0" applyAlignment="1">
      <alignment vertical="center"/>
    </xf>
    <xf numFmtId="167" fontId="20" fillId="0" borderId="9" xfId="0" applyNumberFormat="1" applyFont="1" applyBorder="1" applyAlignment="1">
      <alignment vertical="center"/>
    </xf>
    <xf numFmtId="0" fontId="45" fillId="0" borderId="9" xfId="0" applyFont="1" applyBorder="1" applyAlignment="1">
      <alignment vertical="center" wrapText="1"/>
    </xf>
    <xf numFmtId="0" fontId="20" fillId="0" borderId="9" xfId="0" applyFont="1" applyBorder="1"/>
    <xf numFmtId="0" fontId="30" fillId="0" borderId="24" xfId="0" applyFont="1" applyBorder="1" applyAlignment="1">
      <alignment horizontal="center" vertical="center"/>
    </xf>
    <xf numFmtId="0" fontId="30" fillId="0" borderId="25" xfId="0" quotePrefix="1" applyFont="1" applyBorder="1" applyAlignment="1">
      <alignment horizontal="left" wrapText="1" indent="1"/>
    </xf>
    <xf numFmtId="15" fontId="30" fillId="0" borderId="23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vertical="center"/>
    </xf>
    <xf numFmtId="0" fontId="48" fillId="15" borderId="10" xfId="0" applyFont="1" applyFill="1" applyBorder="1" applyAlignment="1">
      <alignment horizontal="center" vertical="center"/>
    </xf>
    <xf numFmtId="0" fontId="48" fillId="15" borderId="10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49" fillId="0" borderId="9" xfId="0" applyFont="1" applyBorder="1"/>
    <xf numFmtId="0" fontId="49" fillId="0" borderId="9" xfId="0" applyFont="1" applyBorder="1" applyAlignment="1">
      <alignment horizontal="left"/>
    </xf>
    <xf numFmtId="0" fontId="49" fillId="0" borderId="0" xfId="0" applyFont="1"/>
    <xf numFmtId="0" fontId="47" fillId="14" borderId="9" xfId="0" applyFont="1" applyFill="1" applyBorder="1" applyAlignment="1">
      <alignment vertical="center"/>
    </xf>
    <xf numFmtId="0" fontId="49" fillId="16" borderId="9" xfId="0" applyFont="1" applyFill="1" applyBorder="1"/>
    <xf numFmtId="0" fontId="49" fillId="0" borderId="9" xfId="0" applyFont="1" applyBorder="1" applyAlignment="1">
      <alignment horizontal="left" vertical="center"/>
    </xf>
    <xf numFmtId="0" fontId="49" fillId="0" borderId="9" xfId="0" applyFont="1" applyBorder="1" applyAlignment="1">
      <alignment horizontal="center"/>
    </xf>
    <xf numFmtId="0" fontId="49" fillId="0" borderId="9" xfId="0" quotePrefix="1" applyFont="1" applyBorder="1" applyAlignment="1">
      <alignment horizontal="center" vertical="center"/>
    </xf>
    <xf numFmtId="0" fontId="49" fillId="0" borderId="9" xfId="0" quotePrefix="1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8" fillId="16" borderId="16" xfId="0" applyFont="1" applyFill="1" applyBorder="1" applyAlignment="1">
      <alignment horizontal="right"/>
    </xf>
    <xf numFmtId="0" fontId="28" fillId="16" borderId="26" xfId="0" applyFont="1" applyFill="1" applyBorder="1" applyAlignment="1">
      <alignment horizontal="right"/>
    </xf>
    <xf numFmtId="0" fontId="31" fillId="16" borderId="16" xfId="0" applyFont="1" applyFill="1" applyBorder="1" applyAlignment="1">
      <alignment horizontal="left"/>
    </xf>
    <xf numFmtId="0" fontId="31" fillId="16" borderId="26" xfId="0" applyFont="1" applyFill="1" applyBorder="1" applyAlignment="1">
      <alignment horizontal="left"/>
    </xf>
    <xf numFmtId="0" fontId="28" fillId="16" borderId="15" xfId="0" applyFont="1" applyFill="1" applyBorder="1" applyAlignment="1">
      <alignment horizontal="right"/>
    </xf>
    <xf numFmtId="0" fontId="28" fillId="16" borderId="21" xfId="0" applyFont="1" applyFill="1" applyBorder="1" applyAlignment="1">
      <alignment horizontal="right"/>
    </xf>
    <xf numFmtId="0" fontId="29" fillId="16" borderId="17" xfId="0" applyFont="1" applyFill="1" applyBorder="1" applyAlignment="1">
      <alignment horizontal="left"/>
    </xf>
    <xf numFmtId="0" fontId="29" fillId="16" borderId="22" xfId="0" applyFont="1" applyFill="1" applyBorder="1" applyAlignment="1">
      <alignment horizontal="left"/>
    </xf>
    <xf numFmtId="0" fontId="36" fillId="16" borderId="12" xfId="0" applyFont="1" applyFill="1" applyBorder="1" applyAlignment="1">
      <alignment horizontal="left" vertical="top"/>
    </xf>
    <xf numFmtId="0" fontId="36" fillId="16" borderId="13" xfId="0" applyFont="1" applyFill="1" applyBorder="1" applyAlignment="1">
      <alignment horizontal="left" vertical="top"/>
    </xf>
    <xf numFmtId="0" fontId="36" fillId="16" borderId="14" xfId="0" applyFont="1" applyFill="1" applyBorder="1" applyAlignment="1">
      <alignment horizontal="left" vertical="top"/>
    </xf>
    <xf numFmtId="0" fontId="33" fillId="0" borderId="12" xfId="0" applyFont="1" applyBorder="1" applyAlignment="1">
      <alignment horizontal="left" vertical="top"/>
    </xf>
    <xf numFmtId="0" fontId="33" fillId="0" borderId="13" xfId="0" applyFont="1" applyBorder="1" applyAlignment="1">
      <alignment horizontal="left" vertical="top"/>
    </xf>
    <xf numFmtId="0" fontId="33" fillId="0" borderId="14" xfId="0" applyFont="1" applyBorder="1" applyAlignment="1">
      <alignment horizontal="left" vertical="top"/>
    </xf>
    <xf numFmtId="0" fontId="35" fillId="16" borderId="12" xfId="0" applyFont="1" applyFill="1" applyBorder="1" applyAlignment="1">
      <alignment horizontal="left" vertical="top"/>
    </xf>
    <xf numFmtId="0" fontId="35" fillId="16" borderId="13" xfId="0" applyFont="1" applyFill="1" applyBorder="1" applyAlignment="1">
      <alignment horizontal="left" vertical="top"/>
    </xf>
    <xf numFmtId="0" fontId="35" fillId="16" borderId="14" xfId="0" applyFont="1" applyFill="1" applyBorder="1" applyAlignment="1">
      <alignment horizontal="left" vertical="top"/>
    </xf>
    <xf numFmtId="0" fontId="34" fillId="16" borderId="15" xfId="0" applyFont="1" applyFill="1" applyBorder="1" applyAlignment="1">
      <alignment horizontal="left" vertical="center" wrapText="1"/>
    </xf>
    <xf numFmtId="0" fontId="34" fillId="16" borderId="17" xfId="0" applyFont="1" applyFill="1" applyBorder="1" applyAlignment="1">
      <alignment horizontal="left" vertical="center" wrapText="1"/>
    </xf>
    <xf numFmtId="0" fontId="34" fillId="16" borderId="30" xfId="0" applyFont="1" applyFill="1" applyBorder="1" applyAlignment="1">
      <alignment horizontal="left" vertical="center" wrapText="1"/>
    </xf>
    <xf numFmtId="0" fontId="34" fillId="16" borderId="0" xfId="0" applyFont="1" applyFill="1" applyAlignment="1">
      <alignment horizontal="left" vertical="center" wrapText="1"/>
    </xf>
    <xf numFmtId="0" fontId="34" fillId="16" borderId="21" xfId="0" applyFont="1" applyFill="1" applyBorder="1" applyAlignment="1">
      <alignment horizontal="left" vertical="center" wrapText="1"/>
    </xf>
    <xf numFmtId="0" fontId="34" fillId="16" borderId="22" xfId="0" applyFont="1" applyFill="1" applyBorder="1" applyAlignment="1">
      <alignment horizontal="left" vertical="center" wrapText="1"/>
    </xf>
    <xf numFmtId="0" fontId="37" fillId="16" borderId="9" xfId="0" applyFont="1" applyFill="1" applyBorder="1" applyAlignment="1">
      <alignment horizontal="left" vertical="center" wrapText="1"/>
    </xf>
    <xf numFmtId="0" fontId="38" fillId="15" borderId="0" xfId="0" applyFont="1" applyFill="1" applyAlignment="1">
      <alignment horizontal="left" vertical="center" wrapText="1"/>
    </xf>
    <xf numFmtId="0" fontId="38" fillId="15" borderId="31" xfId="0" applyFont="1" applyFill="1" applyBorder="1" applyAlignment="1">
      <alignment horizontal="left" vertical="center" wrapText="1"/>
    </xf>
    <xf numFmtId="0" fontId="22" fillId="15" borderId="32" xfId="0" applyFont="1" applyFill="1" applyBorder="1" applyAlignment="1">
      <alignment horizontal="left" vertical="center"/>
    </xf>
    <xf numFmtId="0" fontId="22" fillId="15" borderId="33" xfId="0" applyFont="1" applyFill="1" applyBorder="1" applyAlignment="1">
      <alignment horizontal="left" vertical="center"/>
    </xf>
    <xf numFmtId="0" fontId="22" fillId="15" borderId="32" xfId="0" applyFont="1" applyFill="1" applyBorder="1" applyAlignment="1">
      <alignment horizontal="left"/>
    </xf>
    <xf numFmtId="0" fontId="22" fillId="15" borderId="33" xfId="0" applyFont="1" applyFill="1" applyBorder="1" applyAlignment="1">
      <alignment horizontal="left"/>
    </xf>
  </cellXfs>
  <cellStyles count="26"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18" builtinId="33" customBuiltin="1"/>
    <cellStyle name="Ênfase3" xfId="19" builtinId="37" customBuiltin="1"/>
    <cellStyle name="Ênfase4" xfId="20" builtinId="41" customBuiltin="1"/>
    <cellStyle name="Ênfase5" xfId="21" builtinId="45" customBuiltin="1"/>
    <cellStyle name="Ênfase6" xfId="22" builtinId="49" customBuiltin="1"/>
    <cellStyle name="Entrada" xfId="9" builtinId="20" customBuiltin="1"/>
    <cellStyle name="Hiperlink" xfId="25" builtinId="8"/>
    <cellStyle name="Neutro" xfId="8" builtinId="28" customBuiltin="1"/>
    <cellStyle name="Normal" xfId="0" builtinId="0" customBuiltin="1"/>
    <cellStyle name="Porcentagem" xfId="24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  <cellStyle name="Vírgula" xfId="23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/>
        <top style="thin">
          <color theme="0" tint="-0.14996795556505021"/>
        </top>
        <bottom/>
      </border>
    </dxf>
    <dxf>
      <font>
        <strike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strike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>
        <top style="thin">
          <color theme="0" tint="-0.14996795556505021"/>
        </top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border outline="0"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Oracle Sans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>
          <bgColor rgb="FFE8EDEF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bgColor theme="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  <color theme="0" tint="-4.9989318521683403E-2"/>
      </font>
      <fill>
        <patternFill>
          <bgColor rgb="FF94AFAF"/>
        </patternFill>
      </fill>
    </dxf>
  </dxfs>
  <tableStyles count="1" defaultTableStyle="TableStyleMedium2" defaultPivotStyle="PivotStyleLight16">
    <tableStyle name="Configuration Workbook Style" pivot="0" count="3" xr9:uid="{1032D75E-F57D-45E8-B841-AC53C49E13DD}">
      <tableStyleElement type="headerRow" dxfId="10"/>
      <tableStyleElement type="firstRowStripe" dxfId="9"/>
      <tableStyleElement type="secondRowStripe" dxfId="8"/>
    </tableStyle>
  </tableStyles>
  <colors>
    <mruColors>
      <color rgb="FFF0CC71"/>
      <color rgb="FF2C5266"/>
      <color rgb="FF81B2C3"/>
      <color rgb="FFC746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4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218708</xdr:colOff>
      <xdr:row>29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83F91A-9025-44B5-BA12-21FCD82BE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797058" cy="708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28881-2D0A-4ABA-9E56-B3E087824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65134" cy="745807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1428406</xdr:colOff>
      <xdr:row>1</xdr:row>
      <xdr:rowOff>116205</xdr:rowOff>
    </xdr:from>
    <xdr:to>
      <xdr:col>7</xdr:col>
      <xdr:colOff>1428406</xdr:colOff>
      <xdr:row>10</xdr:row>
      <xdr:rowOff>21430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003CC8-54C7-4343-BE0F-FCA709E4D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77456" y="306705"/>
          <a:ext cx="0" cy="13720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367779</xdr:colOff>
      <xdr:row>3</xdr:row>
      <xdr:rowOff>157616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FE22CA-843C-420B-840B-3C8052D3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0"/>
          <a:ext cx="767829" cy="729116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9</xdr:row>
      <xdr:rowOff>0</xdr:rowOff>
    </xdr:from>
    <xdr:to>
      <xdr:col>2</xdr:col>
      <xdr:colOff>1409700</xdr:colOff>
      <xdr:row>13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984EC1-7B49-4BA6-BBAD-DBA57919D63A}"/>
            </a:ext>
          </a:extLst>
        </xdr:cNvPr>
        <xdr:cNvSpPr txBox="1"/>
      </xdr:nvSpPr>
      <xdr:spPr>
        <a:xfrm>
          <a:off x="19051" y="2781300"/>
          <a:ext cx="4486274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chemeClr val="bg1"/>
              </a:solidFill>
            </a:rPr>
            <a:t>Brazilian</a:t>
          </a:r>
          <a:r>
            <a:rPr lang="en-US" sz="3200" b="1" baseline="0">
              <a:solidFill>
                <a:schemeClr val="bg1"/>
              </a:solidFill>
            </a:rPr>
            <a:t> Tax Reform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3811</xdr:colOff>
      <xdr:row>12</xdr:row>
      <xdr:rowOff>15240</xdr:rowOff>
    </xdr:from>
    <xdr:to>
      <xdr:col>2</xdr:col>
      <xdr:colOff>1343026</xdr:colOff>
      <xdr:row>15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6748055-5315-40AF-BD28-4FA153E9EF07}"/>
            </a:ext>
          </a:extLst>
        </xdr:cNvPr>
        <xdr:cNvSpPr txBox="1"/>
      </xdr:nvSpPr>
      <xdr:spPr>
        <a:xfrm>
          <a:off x="3811" y="3387090"/>
          <a:ext cx="4434840" cy="775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E6AC58"/>
              </a:solidFill>
            </a:rPr>
            <a:t>eBusiness Suite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9526</xdr:colOff>
      <xdr:row>3</xdr:row>
      <xdr:rowOff>55235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6F7D5-0AF1-43FF-B2BE-0CD7BFB78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572500" cy="569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A1AB11-21E4-47FF-90A4-7D487D38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66389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1428406</xdr:colOff>
      <xdr:row>1</xdr:row>
      <xdr:rowOff>116205</xdr:rowOff>
    </xdr:from>
    <xdr:to>
      <xdr:col>7</xdr:col>
      <xdr:colOff>352081</xdr:colOff>
      <xdr:row>12</xdr:row>
      <xdr:rowOff>97630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0CAC97-843D-40FE-AE1A-F1BE7D004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6306" y="287655"/>
          <a:ext cx="0" cy="259127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266701</xdr:colOff>
      <xdr:row>3</xdr:row>
      <xdr:rowOff>69157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BDCABB-4DED-4CA6-9F31-3DE2EA037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666750" cy="5835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1339215</xdr:colOff>
      <xdr:row>3</xdr:row>
      <xdr:rowOff>104775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F036D-1FAF-40F3-B231-1ED46DD449A9}"/>
            </a:ext>
          </a:extLst>
        </xdr:cNvPr>
        <xdr:cNvSpPr txBox="1"/>
      </xdr:nvSpPr>
      <xdr:spPr>
        <a:xfrm>
          <a:off x="0" y="0"/>
          <a:ext cx="443484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E6AC58"/>
              </a:solidFill>
            </a:rPr>
            <a:t>eBusiness Suite</a:t>
          </a:r>
        </a:p>
      </xdr:txBody>
    </xdr:sp>
    <xdr:clientData/>
  </xdr:twoCellAnchor>
  <xdr:twoCellAnchor editAs="oneCell">
    <xdr:from>
      <xdr:col>7</xdr:col>
      <xdr:colOff>2047875</xdr:colOff>
      <xdr:row>5</xdr:row>
      <xdr:rowOff>19050</xdr:rowOff>
    </xdr:from>
    <xdr:to>
      <xdr:col>8</xdr:col>
      <xdr:colOff>0</xdr:colOff>
      <xdr:row>20</xdr:row>
      <xdr:rowOff>138195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3B7085-F422-42D3-8B9B-406A8455A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296650" y="1895475"/>
          <a:ext cx="0" cy="2833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0</xdr:colOff>
      <xdr:row>3</xdr:row>
      <xdr:rowOff>55235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5C8B6-3EA1-4CDA-973F-11273925D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534399" cy="5695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25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8DE43-D0B5-43F3-A05B-A6A1AD017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62960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1428406</xdr:colOff>
      <xdr:row>1</xdr:row>
      <xdr:rowOff>116205</xdr:rowOff>
    </xdr:from>
    <xdr:to>
      <xdr:col>7</xdr:col>
      <xdr:colOff>352081</xdr:colOff>
      <xdr:row>12</xdr:row>
      <xdr:rowOff>97630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7E0ECD-F0F0-4D63-B867-2BF324DD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2681" y="287655"/>
          <a:ext cx="0" cy="259127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266701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8C37C2-D5D7-4CEC-9384-814711BA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666750" cy="58350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1339215</xdr:colOff>
      <xdr:row>3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354D39-ABFB-4BE8-8C5D-499860C3B160}"/>
            </a:ext>
          </a:extLst>
        </xdr:cNvPr>
        <xdr:cNvSpPr txBox="1"/>
      </xdr:nvSpPr>
      <xdr:spPr>
        <a:xfrm>
          <a:off x="0" y="0"/>
          <a:ext cx="443484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rgbClr val="E6AC58"/>
              </a:solidFill>
            </a:rPr>
            <a:t>eBusiness</a:t>
          </a:r>
          <a:r>
            <a:rPr lang="en-US" sz="3200" b="1" baseline="0">
              <a:solidFill>
                <a:srgbClr val="E6AC58"/>
              </a:solidFill>
            </a:rPr>
            <a:t> Suite</a:t>
          </a:r>
          <a:endParaRPr lang="en-US" sz="3200" b="1">
            <a:solidFill>
              <a:srgbClr val="E6AC58"/>
            </a:solidFill>
          </a:endParaRPr>
        </a:p>
      </xdr:txBody>
    </xdr:sp>
    <xdr:clientData/>
  </xdr:twoCellAnchor>
  <xdr:twoCellAnchor editAs="oneCell">
    <xdr:from>
      <xdr:col>7</xdr:col>
      <xdr:colOff>2047875</xdr:colOff>
      <xdr:row>5</xdr:row>
      <xdr:rowOff>19050</xdr:rowOff>
    </xdr:from>
    <xdr:to>
      <xdr:col>8</xdr:col>
      <xdr:colOff>0</xdr:colOff>
      <xdr:row>20</xdr:row>
      <xdr:rowOff>138195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2C3B80-2BCC-4722-82B2-E145367E8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963025" y="1895475"/>
          <a:ext cx="0" cy="283377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5</xdr:row>
      <xdr:rowOff>29593</xdr:rowOff>
    </xdr:from>
    <xdr:to>
      <xdr:col>7</xdr:col>
      <xdr:colOff>3400</xdr:colOff>
      <xdr:row>24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351F7C6-17BF-4653-B386-9AB6F2A36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7676" y="1467868"/>
          <a:ext cx="8109174" cy="34375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8617</xdr:colOff>
      <xdr:row>3</xdr:row>
      <xdr:rowOff>55235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5F3233-07AA-4FE9-88BB-D3D8E87A1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29624" cy="56958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</xdr:colOff>
      <xdr:row>3</xdr:row>
      <xdr:rowOff>55235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FBF0E-9A67-459E-AFE7-81FF23B1D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429624" cy="56958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0</xdr:row>
      <xdr:rowOff>0</xdr:rowOff>
    </xdr:from>
    <xdr:to>
      <xdr:col>1</xdr:col>
      <xdr:colOff>328438</xdr:colOff>
      <xdr:row>3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697C58-6515-4953-8E7A-AF18CF61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0"/>
          <a:ext cx="607837" cy="565149"/>
        </a:xfrm>
        <a:prstGeom prst="rect">
          <a:avLst/>
        </a:prstGeom>
      </xdr:spPr>
    </xdr:pic>
    <xdr:clientData/>
  </xdr:twoCellAnchor>
  <xdr:twoCellAnchor>
    <xdr:from>
      <xdr:col>1</xdr:col>
      <xdr:colOff>371475</xdr:colOff>
      <xdr:row>0</xdr:row>
      <xdr:rowOff>0</xdr:rowOff>
    </xdr:from>
    <xdr:to>
      <xdr:col>2</xdr:col>
      <xdr:colOff>1071563</xdr:colOff>
      <xdr:row>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B4ADC8-C3B0-4127-B211-4749EF7448CE}"/>
            </a:ext>
          </a:extLst>
        </xdr:cNvPr>
        <xdr:cNvSpPr txBox="1"/>
      </xdr:nvSpPr>
      <xdr:spPr>
        <a:xfrm>
          <a:off x="644525" y="0"/>
          <a:ext cx="3402013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rgbClr val="E6AC58"/>
              </a:solidFill>
            </a:rPr>
            <a:t>eBusiness Suite</a:t>
          </a:r>
        </a:p>
      </xdr:txBody>
    </xdr:sp>
    <xdr:clientData/>
  </xdr:twoCellAnchor>
  <xdr:twoCellAnchor editAs="oneCell">
    <xdr:from>
      <xdr:col>7</xdr:col>
      <xdr:colOff>2047875</xdr:colOff>
      <xdr:row>5</xdr:row>
      <xdr:rowOff>0</xdr:rowOff>
    </xdr:from>
    <xdr:to>
      <xdr:col>8</xdr:col>
      <xdr:colOff>0</xdr:colOff>
      <xdr:row>12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BAE5D2-9FE0-4689-8EEF-B9BC3B299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21725" y="1438275"/>
          <a:ext cx="3175" cy="282900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85D28-919A-4F52-9D63-A89C58D7B294}" name="Table192522" displayName="Table192522" ref="E13:H21" totalsRowShown="0" headerRowDxfId="7" headerRowBorderDxfId="6" tableBorderDxfId="5" totalsRowBorderDxfId="4">
  <tableColumns count="4">
    <tableColumn id="1" xr3:uid="{8F8F1611-8EDC-4378-AB0E-1C94C2237C73}" name="Date" dataDxfId="3"/>
    <tableColumn id="2" xr3:uid="{E22D1FC4-ED23-4F5D-926F-203A216E32F6}" name="Author" dataDxfId="2"/>
    <tableColumn id="3" xr3:uid="{0CAB0823-A174-442F-8148-F3FCED89A0CD}" name="Version" dataDxfId="1"/>
    <tableColumn id="5" xr3:uid="{670FCA8C-36EE-4FC4-9526-D2CB31076230}" name="Change Reference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racle Redwood Excel 04-2020">
  <a:themeElements>
    <a:clrScheme name="Oracle Brand Accessible">
      <a:dk1>
        <a:sysClr val="windowText" lastClr="000000"/>
      </a:dk1>
      <a:lt1>
        <a:sysClr val="window" lastClr="FFFFFF"/>
      </a:lt1>
      <a:dk2>
        <a:srgbClr val="312D2A"/>
      </a:dk2>
      <a:lt2>
        <a:srgbClr val="FCFBFA"/>
      </a:lt2>
      <a:accent1>
        <a:srgbClr val="76A2A0"/>
      </a:accent1>
      <a:accent2>
        <a:srgbClr val="796087"/>
      </a:accent2>
      <a:accent3>
        <a:srgbClr val="C28897"/>
      </a:accent3>
      <a:accent4>
        <a:srgbClr val="315357"/>
      </a:accent4>
      <a:accent5>
        <a:srgbClr val="C58C52"/>
      </a:accent5>
      <a:accent6>
        <a:srgbClr val="925865"/>
      </a:accent6>
      <a:hlink>
        <a:srgbClr val="2C5967"/>
      </a:hlink>
      <a:folHlink>
        <a:srgbClr val="2C5967"/>
      </a:folHlink>
    </a:clrScheme>
    <a:fontScheme name="Oracle TAB">
      <a:majorFont>
        <a:latin typeface="Georgia"/>
        <a:ea typeface=""/>
        <a:cs typeface=""/>
      </a:majorFont>
      <a:minorFont>
        <a:latin typeface="Oracle Sans Tab"/>
        <a:ea typeface=""/>
        <a:cs typeface=""/>
      </a:minorFont>
    </a:fontScheme>
    <a:fmtScheme name="Fla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65000"/>
          </a:schemeClr>
        </a:solidFill>
      </a:fillStyleLst>
      <a:lnStyleLst>
        <a:ln w="3175" cap="flat" cmpd="sng" algn="ctr">
          <a:solidFill>
            <a:schemeClr val="phClr">
              <a:shade val="65000"/>
            </a:schemeClr>
          </a:solidFill>
          <a:prstDash val="solid"/>
        </a:ln>
        <a:ln w="3175" cap="flat" cmpd="sng" algn="ctr">
          <a:solidFill>
            <a:schemeClr val="phClr"/>
          </a:solidFill>
          <a:prstDash val="solid"/>
        </a:ln>
        <a:ln w="0" cap="flat" cmpd="sng" algn="ctr">
          <a:noFill/>
        </a:ln>
      </a:lnStyleLst>
      <a:effectStyleLst>
        <a:effectStyle>
          <a:effectLst>
            <a:blur/>
          </a:effectLst>
        </a:effectStyle>
        <a:effectStyle>
          <a:effectLst>
            <a:blur/>
          </a:effectLst>
        </a:effectStyle>
        <a:effectStyle>
          <a:effectLst>
            <a:fillOverlay blend="darken">
              <a:solidFill>
                <a:schemeClr val="phClr">
                  <a:shade val="30000"/>
                </a:schemeClr>
              </a:solidFill>
            </a:fillOverlay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Ocean: Dark fill_White text">
      <a:srgbClr val="2C5967"/>
    </a:custClr>
    <a:custClr name="Surf: Light fill_Black text">
      <a:srgbClr val="41817E"/>
    </a:custClr>
    <a:custClr name="Sand: Light fill_Black text">
      <a:srgbClr val="E5DBBE"/>
    </a:custClr>
    <a:custClr name="Pebble: Light fill_Black text">
      <a:srgbClr val="8B8580"/>
    </a:custClr>
    <a:custClr name="Granite: Dark fill_White text">
      <a:srgbClr val="67605B"/>
    </a:custClr>
    <a:custClr name="Oracle Red: Dark fill_White text">
      <a:srgbClr val="C74634"/>
    </a:custClr>
    <a:custClr name="Highlight/hyperlink dark theme">
      <a:srgbClr val="F0CC71"/>
    </a:custClr>
    <a:custClr name="Highlight/numbered list light theme">
      <a:srgbClr val="AE562C"/>
    </a:custClr>
    <a:custClr name="Highlight/numbered list light theme">
      <a:srgbClr val="00688C"/>
    </a:custClr>
    <a:custClr name="Numbered list dark theme">
      <a:srgbClr val="759C6C"/>
    </a:custClr>
    <a:custClr name="Neutral 30: Light fill_Black text">
      <a:srgbClr val="F1EFED"/>
    </a:custClr>
    <a:custClr name="Pebble 30: Light fill_Black text">
      <a:srgbClr val="E7F0FD"/>
    </a:custClr>
    <a:custClr name="Slate 30: Light fill_Black text">
      <a:srgbClr val="E7F2F2"/>
    </a:custClr>
    <a:custClr name="Pine 30: Light fill_Black text">
      <a:srgbClr val="E0F5E7"/>
    </a:custClr>
    <a:custClr name="Teal 30: Light fill_Black text">
      <a:srgbClr val="E8F1F0"/>
    </a:custClr>
    <a:custClr name="Ocean 30: Light fill_Black text">
      <a:srgbClr val="E7F2F5"/>
    </a:custClr>
    <a:custClr name="Lilac 30: Light fill_Black text">
      <a:srgbClr val="EBEFFE"/>
    </a:custClr>
    <a:custClr name="Plum 30: Light fill_Black text">
      <a:srgbClr val="F5ECFB"/>
    </a:custClr>
    <a:custClr name="Rose 30: Light fill_Black text">
      <a:srgbClr val="FBECEF"/>
    </a:custClr>
    <a:custClr name="Sky 30: Light fill_Black text">
      <a:srgbClr val="E4F1F7"/>
    </a:custClr>
    <a:custClr name="Neutral 70: Light fill_Black text">
      <a:srgbClr val="AEA8A2"/>
    </a:custClr>
    <a:custClr name="Pebble 70: Light fill_Black text">
      <a:srgbClr val="A2AAB6"/>
    </a:custClr>
    <a:custClr name="Slate 70: Light fill_Black text">
      <a:srgbClr val="99ADAE"/>
    </a:custClr>
    <a:custClr name="Pine 70: Light fill_Black text">
      <a:srgbClr val="86B596"/>
    </a:custClr>
    <a:custClr name="Teal: Light fill_Black text 70">
      <a:srgbClr val="89B2B0"/>
    </a:custClr>
    <a:custClr name="Ocean 70: Light fill_Black text">
      <a:srgbClr val="81B2C3"/>
    </a:custClr>
    <a:custClr name="Lilac 70: Light fill_Black text">
      <a:srgbClr val="A0A9C5"/>
    </a:custClr>
    <a:custClr name="Plum 70: Light fill_Black text">
      <a:srgbClr val="B7A1C4"/>
    </a:custClr>
    <a:custClr name="Rose 70: Light fill_Black text">
      <a:srgbClr val="CE9BA7"/>
    </a:custClr>
    <a:custClr name="Sky 70: Light fill_Black text">
      <a:srgbClr val="79B1C6"/>
    </a:custClr>
    <a:custClr name="Neutral 140: Dark fill_White text">
      <a:srgbClr val="514C47"/>
    </a:custClr>
    <a:custClr name="Pebble 140: Dark fill_White text">
      <a:srgbClr val="494D53"/>
    </a:custClr>
    <a:custClr name="Slate 140: Dark fill_White text">
      <a:srgbClr val="464F4F"/>
    </a:custClr>
    <a:custClr name="Pine 140: Dark fill_White text">
      <a:srgbClr val="33553C"/>
    </a:custClr>
    <a:custClr name="Teal 140: Dark fill_White text">
      <a:srgbClr val="315357"/>
    </a:custClr>
    <a:custClr name="Ocean 140: Dark fill_White text">
      <a:srgbClr val="2C5266"/>
    </a:custClr>
    <a:custClr name="Lilac 140: Dark fill_White text">
      <a:srgbClr val="464C68"/>
    </a:custClr>
    <a:custClr name="Plum 140: Dark fill_White text">
      <a:srgbClr val="594564"/>
    </a:custClr>
    <a:custClr name="Rose 140: Dark fill_White text">
      <a:srgbClr val="6C3F49"/>
    </a:custClr>
    <a:custClr name="Sky 140: Dark fill_White text">
      <a:srgbClr val="04536F"/>
    </a:custClr>
    <a:custClr name="Neutral 170: Dark fill_White text">
      <a:srgbClr val="312D2A"/>
    </a:custClr>
    <a:custClr name="Pebble 170: Dark fill_White text">
      <a:srgbClr val="2B2E32"/>
    </a:custClr>
    <a:custClr name="Slate 170: Dark fill_White text">
      <a:srgbClr val="2A2F2F"/>
    </a:custClr>
    <a:custClr name="Pine 170: Dark fill_White text">
      <a:srgbClr val="1E3224"/>
    </a:custClr>
    <a:custClr name="Teal 170: Dark fill_White text">
      <a:srgbClr val="1E3133"/>
    </a:custClr>
    <a:custClr name="Ocean 170: Dark fill_White text">
      <a:srgbClr val="1A2F3F"/>
    </a:custClr>
    <a:custClr name="Lilac 170: Dark fill_White text">
      <a:srgbClr val="2A2D3F"/>
    </a:custClr>
    <a:custClr name="Plum 170: Dark fill_White text">
      <a:srgbClr val="36293C"/>
    </a:custClr>
    <a:custClr name="Rose 170: Dark fill_White text">
      <a:srgbClr val="41242B"/>
    </a:custClr>
    <a:custClr name="Sky 170: Dark fill_White text">
      <a:srgbClr val="053242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F516-707A-423B-B3AA-ECE974E4C0E6}">
  <dimension ref="A1:XFC33"/>
  <sheetViews>
    <sheetView zoomScaleNormal="100" workbookViewId="0">
      <selection activeCell="F4" sqref="F4"/>
    </sheetView>
  </sheetViews>
  <sheetFormatPr defaultColWidth="0" defaultRowHeight="15.75" customHeight="1" zeroHeight="1"/>
  <cols>
    <col min="1" max="1" width="5.28515625" style="6" customWidth="1"/>
    <col min="2" max="2" width="35.42578125" customWidth="1"/>
    <col min="3" max="3" width="19.42578125" customWidth="1"/>
    <col min="4" max="4" width="6.140625" style="11" customWidth="1"/>
    <col min="5" max="5" width="15.85546875" style="11" bestFit="1" customWidth="1"/>
    <col min="6" max="6" width="15.5703125" style="11" bestFit="1" customWidth="1"/>
    <col min="7" max="7" width="10.7109375" style="11" bestFit="1" customWidth="1"/>
    <col min="8" max="8" width="121.42578125" style="11" customWidth="1"/>
    <col min="9" max="9" width="5.28515625" style="6" customWidth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7.42578125" hidden="1"/>
  </cols>
  <sheetData>
    <row r="1" spans="1:15" ht="12.75">
      <c r="A1" s="2"/>
      <c r="B1" s="3"/>
      <c r="C1" s="3"/>
      <c r="D1" s="3"/>
      <c r="E1" s="3"/>
      <c r="F1" s="4"/>
      <c r="G1" s="3"/>
      <c r="H1" s="3"/>
      <c r="I1" s="2"/>
      <c r="J1" s="3"/>
      <c r="K1" s="3"/>
      <c r="L1" s="3"/>
      <c r="M1" s="3"/>
      <c r="N1" s="3"/>
      <c r="O1" s="3"/>
    </row>
    <row r="2" spans="1:15" ht="12.75">
      <c r="A2" s="2"/>
      <c r="B2" s="3"/>
      <c r="C2" s="3"/>
      <c r="D2" s="3"/>
      <c r="E2" s="3"/>
      <c r="F2" s="4"/>
      <c r="G2" s="3"/>
      <c r="H2" s="3"/>
      <c r="I2" s="2"/>
      <c r="J2" s="3"/>
      <c r="K2" s="3"/>
      <c r="L2" s="3"/>
      <c r="M2" s="3"/>
      <c r="N2" s="3"/>
      <c r="O2" s="3"/>
    </row>
    <row r="3" spans="1:15" s="6" customFormat="1" ht="12.75">
      <c r="A3" s="2"/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</row>
    <row r="4" spans="1:15" s="6" customFormat="1" ht="20.25">
      <c r="A4" s="2"/>
      <c r="B4" s="2"/>
      <c r="C4" s="2"/>
      <c r="D4" s="2"/>
      <c r="E4" s="2"/>
      <c r="F4" s="5"/>
      <c r="G4" s="7"/>
      <c r="H4" s="8"/>
      <c r="I4" s="2"/>
      <c r="J4" s="2"/>
      <c r="K4" s="2"/>
      <c r="L4" s="2"/>
      <c r="M4" s="2"/>
      <c r="N4" s="2"/>
      <c r="O4" s="2"/>
    </row>
    <row r="5" spans="1:15" ht="12.75">
      <c r="A5" s="2"/>
      <c r="B5" s="3"/>
      <c r="C5" s="3"/>
      <c r="D5" s="3"/>
      <c r="E5" s="2"/>
      <c r="F5" s="4"/>
      <c r="G5" s="3"/>
      <c r="H5" s="3"/>
      <c r="I5" s="2"/>
      <c r="J5" s="3"/>
      <c r="K5" s="3"/>
      <c r="L5" s="3"/>
      <c r="M5" s="3"/>
      <c r="N5" s="3"/>
      <c r="O5" s="3"/>
    </row>
    <row r="6" spans="1:15" ht="12.75">
      <c r="A6" s="2"/>
      <c r="B6" s="3"/>
      <c r="C6" s="3"/>
      <c r="D6" s="3"/>
      <c r="E6" s="2"/>
      <c r="F6" s="4"/>
      <c r="G6" s="3"/>
      <c r="H6" s="3"/>
      <c r="I6" s="2"/>
      <c r="J6" s="3"/>
      <c r="K6" s="3"/>
      <c r="L6" s="3"/>
      <c r="M6" s="3"/>
      <c r="N6" s="3"/>
      <c r="O6" s="3"/>
    </row>
    <row r="7" spans="1:15" ht="59.25">
      <c r="A7" s="2"/>
      <c r="B7" s="3"/>
      <c r="C7" s="3"/>
      <c r="D7" s="3"/>
      <c r="E7" s="94" t="s">
        <v>0</v>
      </c>
      <c r="F7" s="95"/>
      <c r="G7" s="95"/>
      <c r="H7" s="96"/>
      <c r="I7" s="2"/>
      <c r="J7" s="3"/>
      <c r="K7" s="3"/>
      <c r="L7" s="3"/>
      <c r="M7" s="3"/>
      <c r="N7" s="3"/>
      <c r="O7" s="3"/>
    </row>
    <row r="8" spans="1:15" ht="34.5">
      <c r="A8" s="2"/>
      <c r="B8" s="3"/>
      <c r="C8" s="3"/>
      <c r="D8" s="3"/>
      <c r="E8" s="97" t="s">
        <v>35</v>
      </c>
      <c r="F8" s="98"/>
      <c r="G8" s="98"/>
      <c r="H8" s="99"/>
      <c r="I8" s="2"/>
      <c r="J8" s="3"/>
      <c r="K8" s="3"/>
      <c r="L8" s="3"/>
      <c r="M8" s="3"/>
      <c r="N8" s="3"/>
      <c r="O8" s="3"/>
    </row>
    <row r="9" spans="1:15" ht="26.25">
      <c r="A9" s="2"/>
      <c r="B9" s="3"/>
      <c r="C9" s="3"/>
      <c r="D9" s="3"/>
      <c r="E9" s="100" t="s">
        <v>49</v>
      </c>
      <c r="F9" s="101"/>
      <c r="G9" s="101"/>
      <c r="H9" s="102"/>
      <c r="I9" s="2"/>
      <c r="J9" s="3"/>
      <c r="K9" s="3"/>
      <c r="L9" s="3"/>
      <c r="M9" s="3"/>
      <c r="N9" s="3"/>
      <c r="O9" s="3"/>
    </row>
    <row r="10" spans="1:15" ht="12.75">
      <c r="A10" s="2"/>
      <c r="B10" s="3"/>
      <c r="C10" s="3"/>
      <c r="D10" s="3"/>
      <c r="F10" s="4"/>
      <c r="G10" s="12"/>
      <c r="H10" s="3"/>
      <c r="I10" s="2"/>
      <c r="J10" s="3"/>
      <c r="K10" s="3"/>
      <c r="L10" s="3"/>
      <c r="M10" s="3"/>
      <c r="N10" s="3"/>
      <c r="O10" s="3"/>
    </row>
    <row r="11" spans="1:15" ht="12.75">
      <c r="A11" s="2"/>
      <c r="B11" s="3"/>
      <c r="C11" s="3"/>
      <c r="D11" s="3"/>
      <c r="E11" s="3"/>
      <c r="F11" s="4"/>
      <c r="G11" s="3"/>
      <c r="H11" s="3"/>
      <c r="I11" s="2"/>
      <c r="J11" s="3"/>
      <c r="K11" s="3"/>
      <c r="L11" s="3"/>
      <c r="M11" s="3"/>
      <c r="N11" s="3"/>
      <c r="O11" s="3"/>
    </row>
    <row r="12" spans="1:15">
      <c r="A12" s="2"/>
      <c r="B12" s="3"/>
      <c r="C12" s="3"/>
      <c r="D12"/>
      <c r="E12" s="28" t="s">
        <v>1</v>
      </c>
      <c r="F12" s="13"/>
      <c r="G12" s="13"/>
      <c r="H12" s="13"/>
      <c r="I12" s="2"/>
      <c r="J12" s="3"/>
      <c r="K12" s="3"/>
      <c r="L12" s="3"/>
      <c r="M12" s="3"/>
      <c r="N12" s="3"/>
      <c r="O12" s="3"/>
    </row>
    <row r="13" spans="1:15" ht="14.25">
      <c r="A13" s="2"/>
      <c r="B13" s="90"/>
      <c r="C13" s="92"/>
      <c r="E13" s="14" t="s">
        <v>2</v>
      </c>
      <c r="F13" s="15" t="s">
        <v>3</v>
      </c>
      <c r="G13" s="15" t="s">
        <v>4</v>
      </c>
      <c r="H13" s="16" t="s">
        <v>5</v>
      </c>
      <c r="I13" s="17"/>
      <c r="J13" s="3"/>
      <c r="K13" s="12"/>
      <c r="L13" s="3"/>
      <c r="M13" s="3"/>
      <c r="N13" s="3"/>
      <c r="O13" s="3"/>
    </row>
    <row r="14" spans="1:15" ht="14.25">
      <c r="A14" s="2"/>
      <c r="B14" s="91"/>
      <c r="C14" s="93"/>
      <c r="E14" s="18">
        <v>45873</v>
      </c>
      <c r="F14" s="19" t="s">
        <v>6</v>
      </c>
      <c r="G14" s="26">
        <v>1</v>
      </c>
      <c r="H14" s="20" t="s">
        <v>7</v>
      </c>
      <c r="I14" s="17"/>
      <c r="J14" s="3"/>
      <c r="K14" s="12"/>
      <c r="L14" s="3"/>
      <c r="M14" s="3"/>
      <c r="N14" s="3"/>
      <c r="O14" s="3"/>
    </row>
    <row r="15" spans="1:15" ht="14.25">
      <c r="A15" s="2"/>
      <c r="B15" s="86"/>
      <c r="C15" s="88"/>
      <c r="E15" s="18">
        <v>45923</v>
      </c>
      <c r="F15" s="19" t="s">
        <v>6</v>
      </c>
      <c r="G15" s="26">
        <v>2</v>
      </c>
      <c r="H15" s="20" t="s">
        <v>48</v>
      </c>
      <c r="I15" s="17"/>
      <c r="J15" s="3"/>
      <c r="K15" s="12"/>
      <c r="L15" s="3"/>
      <c r="M15" s="3"/>
      <c r="N15" s="3"/>
      <c r="O15" s="3"/>
    </row>
    <row r="16" spans="1:15" ht="14.25">
      <c r="A16" s="2"/>
      <c r="B16" s="87"/>
      <c r="C16" s="89"/>
      <c r="E16" s="18">
        <v>45961</v>
      </c>
      <c r="F16" s="19" t="s">
        <v>6</v>
      </c>
      <c r="G16" s="26">
        <v>3</v>
      </c>
      <c r="H16" s="20" t="s">
        <v>50</v>
      </c>
      <c r="I16" s="17"/>
      <c r="J16" s="3"/>
      <c r="K16" s="12"/>
      <c r="L16" s="3"/>
      <c r="M16" s="3"/>
      <c r="N16" s="3"/>
      <c r="O16" s="3"/>
    </row>
    <row r="17" spans="1:15" ht="57">
      <c r="A17" s="2"/>
      <c r="B17" s="3"/>
      <c r="C17" s="3"/>
      <c r="E17" s="69">
        <v>46003</v>
      </c>
      <c r="F17" s="67" t="s">
        <v>6</v>
      </c>
      <c r="G17" s="67">
        <v>4</v>
      </c>
      <c r="H17" s="68" t="s">
        <v>136</v>
      </c>
      <c r="I17" s="17"/>
      <c r="J17" s="3"/>
      <c r="K17" s="12"/>
      <c r="L17" s="3"/>
      <c r="M17" s="3"/>
      <c r="N17" s="3"/>
      <c r="O17" s="3"/>
    </row>
    <row r="18" spans="1:15" ht="14.25">
      <c r="A18" s="2"/>
      <c r="B18" s="3"/>
      <c r="C18" s="3"/>
      <c r="E18" s="41"/>
      <c r="F18" s="19"/>
      <c r="G18" s="26"/>
      <c r="H18" s="20"/>
      <c r="I18" s="17"/>
      <c r="J18" s="3"/>
      <c r="K18" s="12"/>
      <c r="L18" s="3"/>
      <c r="M18" s="3"/>
      <c r="N18" s="3"/>
      <c r="O18" s="3"/>
    </row>
    <row r="19" spans="1:15" ht="14.25">
      <c r="A19" s="2"/>
      <c r="B19" s="3"/>
      <c r="C19" s="3"/>
      <c r="E19" s="42"/>
      <c r="F19" s="43"/>
      <c r="G19" s="44"/>
      <c r="H19" s="45"/>
      <c r="I19" s="17"/>
      <c r="J19" s="3"/>
      <c r="K19" s="3"/>
      <c r="L19" s="3"/>
      <c r="M19" s="3"/>
      <c r="N19" s="3"/>
      <c r="O19" s="3"/>
    </row>
    <row r="20" spans="1:15" ht="14.25">
      <c r="A20" s="2"/>
      <c r="B20" s="3"/>
      <c r="C20" s="3"/>
      <c r="E20" s="41"/>
      <c r="F20" s="19"/>
      <c r="G20" s="26"/>
      <c r="H20" s="45"/>
      <c r="I20" s="17"/>
      <c r="J20" s="3"/>
      <c r="K20" s="3"/>
      <c r="L20" s="3"/>
      <c r="M20" s="3"/>
      <c r="N20" s="3"/>
      <c r="O20" s="3"/>
    </row>
    <row r="21" spans="1:15" ht="14.25">
      <c r="A21" s="2"/>
      <c r="B21" s="3"/>
      <c r="C21" s="3"/>
      <c r="E21" s="21"/>
      <c r="F21" s="22"/>
      <c r="G21" s="27"/>
      <c r="H21" s="23"/>
      <c r="I21" s="17"/>
      <c r="J21" s="3"/>
      <c r="K21" s="3"/>
      <c r="L21" s="3"/>
      <c r="M21" s="3"/>
      <c r="N21" s="3"/>
      <c r="O21" s="3"/>
    </row>
    <row r="22" spans="1:15" ht="12.75">
      <c r="A22" s="3"/>
      <c r="B22" s="3"/>
      <c r="C22" s="3"/>
      <c r="D22" s="3"/>
      <c r="E22" s="24"/>
      <c r="F22" s="24"/>
      <c r="G22" s="24"/>
      <c r="H22" s="24"/>
      <c r="I22" s="3"/>
      <c r="J22" s="3"/>
      <c r="K22" s="3"/>
      <c r="L22" s="3"/>
      <c r="M22" s="3"/>
      <c r="N22" s="3"/>
      <c r="O22" s="3"/>
    </row>
    <row r="23" spans="1:15" ht="12.75">
      <c r="A23" s="2"/>
      <c r="B23" s="3"/>
      <c r="C23" s="3"/>
      <c r="D23" s="3"/>
      <c r="E23" s="3"/>
      <c r="F23" s="3"/>
      <c r="G23" s="3"/>
      <c r="H23" s="3"/>
      <c r="I23" s="2"/>
      <c r="J23" s="3"/>
      <c r="K23" s="3"/>
      <c r="L23" s="3"/>
      <c r="M23" s="3"/>
      <c r="N23" s="3"/>
      <c r="O23" s="3"/>
    </row>
    <row r="24" spans="1:15" ht="12.75">
      <c r="A24" s="2"/>
      <c r="B24" s="3"/>
      <c r="C24" s="3"/>
      <c r="I24" s="2"/>
      <c r="J24" s="3"/>
      <c r="K24" s="3"/>
      <c r="L24" s="3"/>
      <c r="M24" s="3"/>
      <c r="N24" s="3"/>
      <c r="O24" s="3"/>
    </row>
    <row r="25" spans="1:15" ht="12.75">
      <c r="A25" s="2"/>
      <c r="B25" s="3"/>
      <c r="C25" s="3"/>
      <c r="I25" s="2"/>
      <c r="J25" s="3"/>
      <c r="K25" s="3"/>
      <c r="L25" s="3"/>
      <c r="M25" s="3"/>
      <c r="N25" s="3"/>
      <c r="O25" s="3"/>
    </row>
    <row r="26" spans="1:15" ht="12.75">
      <c r="A26" s="2"/>
      <c r="B26" s="3"/>
      <c r="C26" s="3"/>
      <c r="H26" s="46"/>
      <c r="I26" s="2"/>
      <c r="J26" s="3"/>
      <c r="K26" s="3"/>
      <c r="L26" s="3"/>
      <c r="M26" s="3"/>
      <c r="N26" s="3"/>
      <c r="O26" s="3"/>
    </row>
    <row r="27" spans="1:15" ht="12.75">
      <c r="A27" s="2"/>
      <c r="B27" s="3"/>
      <c r="C27" s="3"/>
      <c r="I27" s="2"/>
      <c r="J27" s="3"/>
      <c r="K27" s="3"/>
      <c r="L27" s="3"/>
      <c r="M27" s="3"/>
      <c r="N27" s="3"/>
      <c r="O27" s="3"/>
    </row>
    <row r="28" spans="1:15" ht="12.75">
      <c r="A28" s="2"/>
      <c r="B28" s="3"/>
      <c r="C28" s="3"/>
      <c r="I28" s="2"/>
      <c r="J28" s="3"/>
      <c r="K28" s="3"/>
      <c r="L28" s="3"/>
      <c r="M28" s="3"/>
      <c r="N28" s="3"/>
      <c r="O28" s="3"/>
    </row>
    <row r="29" spans="1:15" ht="12.75">
      <c r="A29" s="2"/>
      <c r="B29" s="3"/>
      <c r="C29" s="3"/>
      <c r="I29" s="2"/>
      <c r="J29" s="3"/>
      <c r="K29" s="3"/>
      <c r="L29" s="3"/>
      <c r="M29" s="3"/>
      <c r="N29" s="3"/>
      <c r="O29" s="3"/>
    </row>
    <row r="30" spans="1:15" ht="12.75">
      <c r="A30" s="2"/>
      <c r="B30" s="3"/>
      <c r="C30" s="3"/>
      <c r="I30" s="2"/>
      <c r="J30" s="3"/>
      <c r="K30" s="3"/>
      <c r="L30" s="3"/>
      <c r="M30" s="3"/>
      <c r="N30" s="3"/>
      <c r="O30" s="3"/>
    </row>
    <row r="31" spans="1:15" ht="12.75">
      <c r="A31" s="2"/>
      <c r="B31" s="3"/>
      <c r="C31" s="3"/>
      <c r="I31" s="2"/>
      <c r="J31" s="3"/>
      <c r="K31" s="3"/>
      <c r="L31" s="3"/>
      <c r="M31" s="3"/>
      <c r="N31" s="3"/>
      <c r="O31" s="3"/>
    </row>
    <row r="32" spans="1:15" ht="12.75">
      <c r="A32" s="2"/>
      <c r="B32" s="3"/>
      <c r="C32" s="3"/>
      <c r="I32" s="2"/>
      <c r="J32" s="3"/>
      <c r="K32" s="3"/>
      <c r="L32" s="3"/>
      <c r="M32" s="3"/>
      <c r="N32" s="3"/>
      <c r="O32" s="3"/>
    </row>
    <row r="33" spans="1:15" ht="12.75">
      <c r="A33" s="2"/>
      <c r="B33" s="3"/>
      <c r="C33" s="3"/>
      <c r="I33" s="2"/>
      <c r="J33" s="3"/>
      <c r="K33" s="3"/>
      <c r="L33" s="3"/>
      <c r="M33" s="3"/>
      <c r="N33" s="3"/>
      <c r="O33" s="3"/>
    </row>
  </sheetData>
  <mergeCells count="7">
    <mergeCell ref="B15:B16"/>
    <mergeCell ref="C15:C16"/>
    <mergeCell ref="B13:B14"/>
    <mergeCell ref="C13:C14"/>
    <mergeCell ref="E7:H7"/>
    <mergeCell ref="E8:H8"/>
    <mergeCell ref="E9:H9"/>
  </mergeCells>
  <pageMargins left="0.7" right="0.7" top="0.75" bottom="0.75" header="0.3" footer="0.3"/>
  <pageSetup paperSize="9" orientation="landscape" r:id="rId1"/>
  <headerFooter>
    <oddFooter>&amp;L_x000D_&amp;1#&amp;"Calibri"&amp;10&amp;K000000 Confidential – Oracle Internal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FE76-F066-43D5-A3EC-4AB7664BE723}">
  <dimension ref="A1:XFC31"/>
  <sheetViews>
    <sheetView workbookViewId="0">
      <selection activeCell="B7" sqref="B7:G10"/>
    </sheetView>
  </sheetViews>
  <sheetFormatPr defaultColWidth="0" defaultRowHeight="15.75" customHeight="1" zeroHeight="1"/>
  <cols>
    <col min="1" max="1" width="5.28515625" style="6" customWidth="1"/>
    <col min="2" max="2" width="35.42578125" customWidth="1"/>
    <col min="3" max="3" width="19.42578125" customWidth="1"/>
    <col min="4" max="4" width="6.140625" style="11" customWidth="1"/>
    <col min="5" max="5" width="28.85546875" style="11" customWidth="1"/>
    <col min="6" max="6" width="8.28515625" style="11" customWidth="1"/>
    <col min="7" max="7" width="9" style="11" bestFit="1" customWidth="1"/>
    <col min="8" max="8" width="5.28515625" style="11" customWidth="1"/>
    <col min="9" max="9" width="4.5703125" style="6" hidden="1" customWidth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7.42578125" hidden="1"/>
  </cols>
  <sheetData>
    <row r="1" spans="1:15" ht="12.75">
      <c r="A1" s="2"/>
      <c r="B1" s="3"/>
      <c r="C1" s="3"/>
      <c r="D1" s="3"/>
      <c r="E1" s="3"/>
      <c r="F1" s="4"/>
      <c r="G1" s="3"/>
      <c r="H1" s="3"/>
      <c r="I1" s="2"/>
      <c r="J1" s="3"/>
      <c r="K1" s="3"/>
      <c r="L1" s="3"/>
      <c r="M1" s="3"/>
      <c r="N1" s="3"/>
      <c r="O1" s="3"/>
    </row>
    <row r="2" spans="1:15" ht="12.75">
      <c r="A2" s="2"/>
      <c r="B2" s="3"/>
      <c r="C2" s="3"/>
      <c r="D2" s="3"/>
      <c r="E2" s="3"/>
      <c r="F2" s="4"/>
      <c r="G2" s="3"/>
      <c r="H2" s="3"/>
      <c r="I2" s="2"/>
      <c r="J2" s="3"/>
      <c r="K2" s="3"/>
      <c r="L2" s="3"/>
      <c r="M2" s="3"/>
      <c r="N2" s="3"/>
      <c r="O2" s="3"/>
    </row>
    <row r="3" spans="1:15" s="6" customFormat="1" ht="12.75">
      <c r="A3" s="2"/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</row>
    <row r="4" spans="1:15" s="6" customFormat="1" ht="13.5" customHeight="1">
      <c r="A4" s="2"/>
      <c r="B4" s="2"/>
      <c r="C4" s="2"/>
      <c r="D4" s="2"/>
      <c r="E4" s="2"/>
      <c r="F4" s="5"/>
      <c r="G4" s="7"/>
      <c r="H4" s="8"/>
      <c r="I4" s="2"/>
      <c r="J4" s="2"/>
      <c r="K4" s="2"/>
      <c r="L4" s="2"/>
      <c r="M4" s="2"/>
      <c r="N4" s="2"/>
      <c r="O4" s="2"/>
    </row>
    <row r="5" spans="1:15" ht="59.25">
      <c r="A5" s="2"/>
      <c r="B5" s="94" t="s">
        <v>8</v>
      </c>
      <c r="C5" s="95"/>
      <c r="D5" s="95"/>
      <c r="E5" s="95"/>
      <c r="F5" s="95"/>
      <c r="G5" s="95"/>
      <c r="H5" s="30"/>
      <c r="I5" s="2"/>
      <c r="J5" s="3"/>
      <c r="K5" s="3"/>
      <c r="L5" s="3"/>
      <c r="M5" s="3"/>
      <c r="N5" s="3"/>
      <c r="O5" s="3"/>
    </row>
    <row r="6" spans="1:15" ht="21.75" customHeight="1">
      <c r="A6" s="2"/>
      <c r="B6" s="3"/>
      <c r="C6" s="3"/>
      <c r="D6" s="3"/>
      <c r="E6" s="97"/>
      <c r="F6" s="99"/>
      <c r="G6" s="9"/>
      <c r="H6" s="10"/>
      <c r="I6" s="2"/>
      <c r="J6" s="3"/>
      <c r="K6" s="3"/>
      <c r="L6" s="3"/>
      <c r="M6" s="3"/>
      <c r="N6" s="3"/>
      <c r="O6" s="3"/>
    </row>
    <row r="7" spans="1:15" ht="16.5" customHeight="1">
      <c r="A7" s="2"/>
      <c r="B7" s="103" t="s">
        <v>36</v>
      </c>
      <c r="C7" s="104"/>
      <c r="D7" s="104"/>
      <c r="E7" s="104"/>
      <c r="F7" s="104"/>
      <c r="G7" s="104"/>
      <c r="H7" s="31"/>
      <c r="I7" s="2"/>
      <c r="J7" s="3"/>
      <c r="K7" s="3"/>
      <c r="L7" s="3"/>
      <c r="M7" s="3"/>
      <c r="N7" s="3"/>
      <c r="O7" s="3"/>
    </row>
    <row r="8" spans="1:15" ht="13.5" customHeight="1">
      <c r="A8" s="2"/>
      <c r="B8" s="105"/>
      <c r="C8" s="106"/>
      <c r="D8" s="106"/>
      <c r="E8" s="106"/>
      <c r="F8" s="106"/>
      <c r="G8" s="106"/>
      <c r="H8" s="3"/>
      <c r="I8" s="2"/>
      <c r="J8" s="3"/>
      <c r="K8" s="3"/>
      <c r="L8" s="3"/>
      <c r="M8" s="3"/>
      <c r="N8" s="3"/>
      <c r="O8" s="3"/>
    </row>
    <row r="9" spans="1:15" ht="13.5" customHeight="1">
      <c r="A9" s="2"/>
      <c r="B9" s="105"/>
      <c r="C9" s="106"/>
      <c r="D9" s="106"/>
      <c r="E9" s="106"/>
      <c r="F9" s="106"/>
      <c r="G9" s="106"/>
      <c r="H9" s="3"/>
      <c r="I9" s="3"/>
      <c r="J9" s="3"/>
      <c r="K9" s="3"/>
      <c r="L9" s="3"/>
      <c r="M9" s="3"/>
      <c r="N9" s="3"/>
      <c r="O9" s="3"/>
    </row>
    <row r="10" spans="1:15" ht="13.5" customHeight="1">
      <c r="A10" s="2"/>
      <c r="B10" s="107"/>
      <c r="C10" s="108"/>
      <c r="D10" s="108"/>
      <c r="E10" s="108"/>
      <c r="F10" s="108"/>
      <c r="G10" s="108"/>
      <c r="H10" s="3"/>
      <c r="I10" s="3"/>
      <c r="J10" s="3"/>
      <c r="K10" s="3"/>
      <c r="L10" s="3"/>
      <c r="M10" s="3"/>
      <c r="N10" s="3"/>
      <c r="O10" s="3"/>
    </row>
    <row r="11" spans="1:15" ht="12.75">
      <c r="A11" s="2"/>
      <c r="B11" s="90"/>
      <c r="C11" s="92"/>
      <c r="E11" s="3"/>
      <c r="F11" s="3"/>
      <c r="G11" s="3"/>
      <c r="H11" s="3"/>
      <c r="I11" s="3"/>
      <c r="J11" s="3"/>
      <c r="K11" s="12"/>
      <c r="L11" s="3"/>
      <c r="M11" s="3"/>
      <c r="N11" s="3"/>
      <c r="O11" s="3"/>
    </row>
    <row r="12" spans="1:15" ht="12.75">
      <c r="A12" s="2"/>
      <c r="B12" s="91"/>
      <c r="C12" s="93"/>
      <c r="E12" s="3"/>
      <c r="F12" s="3"/>
      <c r="G12" s="3"/>
      <c r="H12" s="3"/>
      <c r="I12" s="3"/>
      <c r="J12" s="3"/>
      <c r="K12" s="12"/>
      <c r="L12" s="3"/>
      <c r="M12" s="3"/>
      <c r="N12" s="3"/>
      <c r="O12" s="3"/>
    </row>
    <row r="13" spans="1:15" ht="12.75">
      <c r="A13" s="2"/>
      <c r="B13" s="86"/>
      <c r="C13" s="88"/>
      <c r="E13" s="3"/>
      <c r="F13" s="3"/>
      <c r="G13" s="3"/>
      <c r="H13" s="3"/>
      <c r="I13" s="3"/>
      <c r="J13" s="3"/>
      <c r="K13" s="12"/>
      <c r="L13" s="3"/>
      <c r="M13" s="3"/>
      <c r="N13" s="3"/>
      <c r="O13" s="3"/>
    </row>
    <row r="14" spans="1:15" ht="12.75">
      <c r="A14" s="2"/>
      <c r="B14" s="87"/>
      <c r="C14" s="89"/>
      <c r="E14" s="3"/>
      <c r="F14" s="3"/>
      <c r="G14" s="3"/>
      <c r="H14" s="3"/>
      <c r="I14" s="3"/>
      <c r="J14" s="3"/>
      <c r="K14" s="12"/>
      <c r="L14" s="3"/>
      <c r="M14" s="3"/>
      <c r="N14" s="3"/>
      <c r="O14" s="3"/>
    </row>
    <row r="15" spans="1:15" ht="12.75">
      <c r="A15" s="2"/>
      <c r="B15" s="3"/>
      <c r="C15" s="3"/>
      <c r="E15" s="3"/>
      <c r="F15" s="3"/>
      <c r="G15" s="3"/>
      <c r="H15" s="3"/>
      <c r="I15" s="3"/>
      <c r="J15" s="3"/>
      <c r="K15" s="12"/>
      <c r="L15" s="3"/>
      <c r="M15" s="3"/>
      <c r="N15" s="3"/>
      <c r="O15" s="3"/>
    </row>
    <row r="16" spans="1:15" ht="12.75">
      <c r="A16" s="2"/>
      <c r="B16" s="3"/>
      <c r="C16" s="3"/>
      <c r="E16" s="3"/>
      <c r="F16" s="3"/>
      <c r="G16" s="3"/>
      <c r="H16" s="3"/>
      <c r="I16" s="3"/>
      <c r="J16" s="3"/>
      <c r="K16" s="12"/>
      <c r="L16" s="3"/>
      <c r="M16" s="3"/>
      <c r="N16" s="3"/>
      <c r="O16" s="3"/>
    </row>
    <row r="17" spans="1:15" ht="12.75">
      <c r="A17" s="2"/>
      <c r="B17" s="3"/>
      <c r="C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2.75">
      <c r="A18" s="2"/>
      <c r="B18" s="3"/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2.75">
      <c r="A19" s="2"/>
      <c r="B19" s="3"/>
      <c r="C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2.7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2.75">
      <c r="A22" s="2"/>
      <c r="B22" s="3"/>
      <c r="C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2.75">
      <c r="A23" s="2"/>
      <c r="B23" s="3"/>
      <c r="C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2.75">
      <c r="A24" s="2"/>
      <c r="B24" s="3"/>
      <c r="C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2.75">
      <c r="A25" s="2"/>
      <c r="B25" s="3"/>
      <c r="C25" s="3"/>
      <c r="I25" s="2"/>
      <c r="J25" s="3"/>
      <c r="K25" s="3"/>
      <c r="L25" s="3"/>
      <c r="M25" s="3"/>
      <c r="N25" s="3"/>
      <c r="O25" s="3"/>
    </row>
    <row r="26" spans="1:15" ht="12.75">
      <c r="A26" s="2"/>
      <c r="B26" s="3"/>
      <c r="C26" s="3"/>
      <c r="I26" s="2"/>
      <c r="J26" s="3"/>
      <c r="K26" s="3"/>
      <c r="L26" s="3"/>
      <c r="M26" s="3"/>
      <c r="N26" s="3"/>
      <c r="O26" s="3"/>
    </row>
    <row r="27" spans="1:15" ht="12.75">
      <c r="A27" s="2"/>
      <c r="B27" s="3"/>
      <c r="C27" s="3"/>
      <c r="I27" s="2"/>
      <c r="J27" s="3"/>
      <c r="K27" s="3"/>
      <c r="L27" s="3"/>
      <c r="M27" s="3"/>
      <c r="N27" s="3"/>
      <c r="O27" s="3"/>
    </row>
    <row r="28" spans="1:15" ht="12.75" hidden="1">
      <c r="A28" s="2"/>
      <c r="B28" s="3"/>
      <c r="C28" s="3"/>
      <c r="I28" s="2"/>
      <c r="J28" s="3"/>
      <c r="K28" s="3"/>
      <c r="L28" s="3"/>
      <c r="M28" s="3"/>
      <c r="N28" s="3"/>
      <c r="O28" s="3"/>
    </row>
    <row r="29" spans="1:15" ht="12.75" hidden="1">
      <c r="A29" s="2"/>
      <c r="B29" s="3"/>
      <c r="C29" s="3"/>
      <c r="I29" s="2"/>
      <c r="J29" s="3"/>
      <c r="K29" s="3"/>
      <c r="L29" s="3"/>
      <c r="M29" s="3"/>
      <c r="N29" s="3"/>
      <c r="O29" s="3"/>
    </row>
    <row r="30" spans="1:15" ht="12.75" hidden="1">
      <c r="A30" s="2"/>
      <c r="B30" s="3"/>
      <c r="C30" s="3"/>
      <c r="I30" s="2"/>
      <c r="J30" s="3"/>
      <c r="K30" s="3"/>
      <c r="L30" s="3"/>
      <c r="M30" s="3"/>
      <c r="N30" s="3"/>
      <c r="O30" s="3"/>
    </row>
    <row r="31" spans="1:15" ht="12.75" hidden="1">
      <c r="A31" s="2"/>
      <c r="B31" s="3"/>
      <c r="C31" s="3"/>
      <c r="I31" s="2"/>
      <c r="J31" s="3"/>
      <c r="K31" s="3"/>
      <c r="L31" s="3"/>
      <c r="M31" s="3"/>
      <c r="N31" s="3"/>
      <c r="O31" s="3"/>
    </row>
  </sheetData>
  <mergeCells count="7">
    <mergeCell ref="B5:G5"/>
    <mergeCell ref="E6:F6"/>
    <mergeCell ref="B11:B12"/>
    <mergeCell ref="C11:C12"/>
    <mergeCell ref="B13:B14"/>
    <mergeCell ref="C13:C14"/>
    <mergeCell ref="B7:G10"/>
  </mergeCells>
  <pageMargins left="0.7" right="0.7" top="0.75" bottom="0.75" header="0.3" footer="0.3"/>
  <pageSetup orientation="landscape" r:id="rId1"/>
  <headerFooter>
    <oddFooter>&amp;L_x000D_&amp;1#&amp;"Calibri"&amp;10&amp;K000000 Confidential – Oracle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A339-7A5F-48EC-B0DC-2B5BA1858079}">
  <dimension ref="A1:XFC31"/>
  <sheetViews>
    <sheetView workbookViewId="0">
      <selection activeCell="A4" sqref="A4"/>
    </sheetView>
  </sheetViews>
  <sheetFormatPr defaultColWidth="0" defaultRowHeight="15.75" customHeight="1" zeroHeight="1"/>
  <cols>
    <col min="1" max="1" width="5.28515625" style="6" customWidth="1"/>
    <col min="2" max="2" width="35.42578125" customWidth="1"/>
    <col min="3" max="3" width="19.42578125" customWidth="1"/>
    <col min="4" max="4" width="6.140625" style="11" customWidth="1"/>
    <col min="5" max="5" width="28.85546875" style="11" customWidth="1"/>
    <col min="6" max="6" width="8.28515625" style="11" customWidth="1"/>
    <col min="7" max="7" width="9" style="11" bestFit="1" customWidth="1"/>
    <col min="8" max="8" width="5.28515625" style="11" customWidth="1"/>
    <col min="9" max="9" width="4.5703125" style="6" hidden="1" customWidth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7.42578125" hidden="1"/>
  </cols>
  <sheetData>
    <row r="1" spans="1:15" ht="12.75">
      <c r="A1" s="2"/>
      <c r="B1" s="3"/>
      <c r="C1" s="3"/>
      <c r="D1" s="3"/>
      <c r="E1" s="3"/>
      <c r="F1" s="4"/>
      <c r="G1" s="3"/>
      <c r="H1" s="3"/>
      <c r="I1" s="2"/>
      <c r="J1" s="3"/>
      <c r="K1" s="3"/>
      <c r="L1" s="3"/>
      <c r="M1" s="3"/>
      <c r="N1" s="3"/>
      <c r="O1" s="3"/>
    </row>
    <row r="2" spans="1:15" ht="12.75">
      <c r="A2" s="2"/>
      <c r="B2" s="3"/>
      <c r="C2" s="3"/>
      <c r="D2" s="3"/>
      <c r="E2" s="3"/>
      <c r="F2" s="4"/>
      <c r="G2" s="3"/>
      <c r="H2" s="3"/>
      <c r="I2" s="2"/>
      <c r="J2" s="3"/>
      <c r="K2" s="3"/>
      <c r="L2" s="3"/>
      <c r="M2" s="3"/>
      <c r="N2" s="3"/>
      <c r="O2" s="3"/>
    </row>
    <row r="3" spans="1:15" s="6" customFormat="1" ht="12.75">
      <c r="A3" s="2"/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</row>
    <row r="4" spans="1:15" ht="13.5" customHeight="1">
      <c r="A4" s="2"/>
      <c r="B4" s="3"/>
      <c r="C4" s="3"/>
      <c r="D4" s="3"/>
      <c r="E4" s="2"/>
      <c r="F4" s="4"/>
      <c r="G4" s="3"/>
      <c r="H4" s="3"/>
      <c r="I4" s="2"/>
      <c r="J4" s="3"/>
      <c r="K4" s="3"/>
      <c r="L4" s="3"/>
      <c r="M4" s="3"/>
      <c r="N4" s="3"/>
      <c r="O4" s="3"/>
    </row>
    <row r="5" spans="1:15" ht="59.25">
      <c r="A5" s="2"/>
      <c r="B5" s="94" t="s">
        <v>9</v>
      </c>
      <c r="C5" s="95"/>
      <c r="D5" s="95"/>
      <c r="E5" s="95"/>
      <c r="F5" s="29"/>
      <c r="G5" s="29"/>
      <c r="H5" s="30"/>
      <c r="I5" s="2"/>
      <c r="J5" s="3"/>
      <c r="K5" s="3"/>
      <c r="L5" s="3"/>
      <c r="M5" s="3"/>
      <c r="N5" s="3"/>
      <c r="O5" s="3"/>
    </row>
    <row r="6" spans="1:15" ht="21.75" customHeight="1">
      <c r="A6" s="2"/>
      <c r="B6" s="3"/>
      <c r="C6" s="3"/>
      <c r="D6" s="3"/>
      <c r="E6" s="97"/>
      <c r="F6" s="99"/>
      <c r="G6" s="9"/>
      <c r="H6" s="10"/>
      <c r="I6" s="2"/>
      <c r="J6" s="3"/>
      <c r="K6" s="3"/>
      <c r="L6" s="3"/>
      <c r="M6" s="3"/>
      <c r="N6" s="3"/>
      <c r="O6" s="3"/>
    </row>
    <row r="7" spans="1:15" ht="16.5" customHeight="1">
      <c r="A7" s="2"/>
      <c r="B7" s="103"/>
      <c r="C7" s="104"/>
      <c r="D7" s="104"/>
      <c r="E7" s="104"/>
      <c r="F7" s="104"/>
      <c r="G7" s="104"/>
      <c r="H7" s="31"/>
      <c r="I7" s="2"/>
      <c r="J7" s="3"/>
      <c r="K7" s="3"/>
      <c r="L7" s="3"/>
      <c r="M7" s="3"/>
      <c r="N7" s="3"/>
      <c r="O7" s="3"/>
    </row>
    <row r="8" spans="1:15" ht="13.5" customHeight="1">
      <c r="A8" s="2"/>
      <c r="B8" s="105"/>
      <c r="C8" s="106"/>
      <c r="D8" s="106"/>
      <c r="E8" s="106"/>
      <c r="F8" s="106"/>
      <c r="G8" s="106"/>
      <c r="H8" s="3"/>
      <c r="I8" s="2"/>
      <c r="J8" s="3"/>
      <c r="K8" s="3"/>
      <c r="L8" s="3"/>
      <c r="M8" s="3"/>
      <c r="N8" s="3"/>
      <c r="O8" s="3"/>
    </row>
    <row r="9" spans="1:15" ht="13.5" customHeight="1">
      <c r="A9" s="2"/>
      <c r="B9" s="105"/>
      <c r="C9" s="106"/>
      <c r="D9" s="106"/>
      <c r="E9" s="106"/>
      <c r="F9" s="106"/>
      <c r="G9" s="106"/>
      <c r="H9" s="3"/>
      <c r="I9" s="3"/>
      <c r="J9" s="3"/>
      <c r="K9" s="3"/>
      <c r="L9" s="3"/>
      <c r="M9" s="3"/>
      <c r="N9" s="3"/>
      <c r="O9" s="3"/>
    </row>
    <row r="10" spans="1:15" ht="13.5" customHeight="1">
      <c r="A10" s="2"/>
      <c r="B10" s="107"/>
      <c r="C10" s="108"/>
      <c r="D10" s="108"/>
      <c r="E10" s="108"/>
      <c r="F10" s="108"/>
      <c r="G10" s="108"/>
      <c r="H10" s="3"/>
      <c r="I10" s="3"/>
      <c r="J10" s="3"/>
      <c r="K10" s="3"/>
      <c r="L10" s="3"/>
      <c r="M10" s="3"/>
      <c r="N10" s="3"/>
      <c r="O10" s="3"/>
    </row>
    <row r="11" spans="1:15" ht="12.75">
      <c r="A11" s="2"/>
      <c r="B11" s="90"/>
      <c r="C11" s="92"/>
      <c r="E11" s="3"/>
      <c r="F11" s="3"/>
      <c r="G11" s="3"/>
      <c r="H11" s="3"/>
      <c r="I11" s="3"/>
      <c r="J11" s="3"/>
      <c r="K11" s="12"/>
      <c r="L11" s="3"/>
      <c r="M11" s="3"/>
      <c r="N11" s="3"/>
      <c r="O11" s="3"/>
    </row>
    <row r="12" spans="1:15" ht="12.75">
      <c r="A12" s="2"/>
      <c r="B12" s="91"/>
      <c r="C12" s="93"/>
      <c r="E12" s="3"/>
      <c r="F12" s="3"/>
      <c r="G12" s="3"/>
      <c r="H12" s="3"/>
      <c r="I12" s="3"/>
      <c r="J12" s="3"/>
      <c r="K12" s="12"/>
      <c r="L12" s="3"/>
      <c r="M12" s="3"/>
      <c r="N12" s="3"/>
      <c r="O12" s="3"/>
    </row>
    <row r="13" spans="1:15" ht="12.75">
      <c r="A13" s="2"/>
      <c r="B13" s="86"/>
      <c r="C13" s="88"/>
      <c r="E13" s="3"/>
      <c r="F13" s="3"/>
      <c r="G13" s="3"/>
      <c r="H13" s="3"/>
      <c r="I13" s="3"/>
      <c r="J13" s="3"/>
      <c r="K13" s="12"/>
      <c r="L13" s="3"/>
      <c r="M13" s="3"/>
      <c r="N13" s="3"/>
      <c r="O13" s="3"/>
    </row>
    <row r="14" spans="1:15" ht="12.75">
      <c r="A14" s="2"/>
      <c r="B14" s="87"/>
      <c r="C14" s="89"/>
      <c r="E14" s="3"/>
      <c r="F14" s="3"/>
      <c r="G14" s="3"/>
      <c r="H14" s="3"/>
      <c r="I14" s="3"/>
      <c r="J14" s="3"/>
      <c r="K14" s="12"/>
      <c r="L14" s="3"/>
      <c r="M14" s="3"/>
      <c r="N14" s="3"/>
      <c r="O14" s="3"/>
    </row>
    <row r="15" spans="1:15" ht="12.75">
      <c r="A15" s="2"/>
      <c r="B15" s="3"/>
      <c r="C15" s="3"/>
      <c r="E15" s="3"/>
      <c r="F15" s="3"/>
      <c r="G15" s="3"/>
      <c r="H15" s="3"/>
      <c r="I15" s="3"/>
      <c r="J15" s="3"/>
      <c r="K15" s="12"/>
      <c r="L15" s="3"/>
      <c r="M15" s="3"/>
      <c r="N15" s="3"/>
      <c r="O15" s="3"/>
    </row>
    <row r="16" spans="1:15" ht="12.75">
      <c r="A16" s="2"/>
      <c r="B16" s="3"/>
      <c r="C16" s="3"/>
      <c r="E16" s="3"/>
      <c r="F16" s="3"/>
      <c r="G16" s="3"/>
      <c r="H16" s="3"/>
      <c r="I16" s="3"/>
      <c r="J16" s="3"/>
      <c r="K16" s="12"/>
      <c r="L16" s="3"/>
      <c r="M16" s="3"/>
      <c r="N16" s="3"/>
      <c r="O16" s="3"/>
    </row>
    <row r="17" spans="1:15" ht="12.75">
      <c r="A17" s="2"/>
      <c r="B17" s="3"/>
      <c r="C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2.75">
      <c r="A18" s="2"/>
      <c r="B18" s="3"/>
      <c r="C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2.75">
      <c r="A19" s="2"/>
      <c r="B19" s="3"/>
      <c r="C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2.7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2.75">
      <c r="A22" s="2"/>
      <c r="B22" s="3"/>
      <c r="C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12.75">
      <c r="A23" s="2"/>
      <c r="B23" s="3"/>
      <c r="C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2.75">
      <c r="A24" s="2"/>
      <c r="B24" s="3"/>
      <c r="C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12.75">
      <c r="A25" s="2"/>
      <c r="B25" s="3"/>
      <c r="C25" s="3"/>
      <c r="I25" s="2"/>
      <c r="J25" s="3"/>
      <c r="K25" s="3"/>
      <c r="L25" s="3"/>
      <c r="M25" s="3"/>
      <c r="N25" s="3"/>
      <c r="O25" s="3"/>
    </row>
    <row r="26" spans="1:15" ht="12.75" hidden="1">
      <c r="A26" s="2"/>
      <c r="B26" s="3"/>
      <c r="C26" s="3"/>
      <c r="I26" s="2"/>
      <c r="J26" s="3"/>
      <c r="K26" s="3"/>
      <c r="L26" s="3"/>
      <c r="M26" s="3"/>
      <c r="N26" s="3"/>
      <c r="O26" s="3"/>
    </row>
    <row r="27" spans="1:15" ht="12.75" hidden="1">
      <c r="A27" s="2"/>
      <c r="B27" s="3"/>
      <c r="C27" s="3"/>
      <c r="I27" s="2"/>
      <c r="J27" s="3"/>
      <c r="K27" s="3"/>
      <c r="L27" s="3"/>
      <c r="M27" s="3"/>
      <c r="N27" s="3"/>
      <c r="O27" s="3"/>
    </row>
    <row r="28" spans="1:15" ht="12.75" hidden="1">
      <c r="A28" s="2"/>
      <c r="B28" s="3"/>
      <c r="C28" s="3"/>
      <c r="I28" s="2"/>
      <c r="J28" s="3"/>
      <c r="K28" s="3"/>
      <c r="L28" s="3"/>
      <c r="M28" s="3"/>
      <c r="N28" s="3"/>
      <c r="O28" s="3"/>
    </row>
    <row r="29" spans="1:15" ht="12.75" hidden="1">
      <c r="A29" s="2"/>
      <c r="B29" s="3"/>
      <c r="C29" s="3"/>
      <c r="I29" s="2"/>
      <c r="J29" s="3"/>
      <c r="K29" s="3"/>
      <c r="L29" s="3"/>
      <c r="M29" s="3"/>
      <c r="N29" s="3"/>
      <c r="O29" s="3"/>
    </row>
    <row r="30" spans="1:15" ht="12.75" hidden="1">
      <c r="A30" s="2"/>
      <c r="B30" s="3"/>
      <c r="C30" s="3"/>
      <c r="I30" s="2"/>
      <c r="J30" s="3"/>
      <c r="K30" s="3"/>
      <c r="L30" s="3"/>
      <c r="M30" s="3"/>
      <c r="N30" s="3"/>
      <c r="O30" s="3"/>
    </row>
    <row r="31" spans="1:15" ht="12.75" hidden="1">
      <c r="A31" s="2"/>
      <c r="B31" s="3"/>
      <c r="C31" s="3"/>
      <c r="I31" s="2"/>
      <c r="J31" s="3"/>
      <c r="K31" s="3"/>
      <c r="L31" s="3"/>
      <c r="M31" s="3"/>
      <c r="N31" s="3"/>
      <c r="O31" s="3"/>
    </row>
  </sheetData>
  <mergeCells count="7">
    <mergeCell ref="B13:B14"/>
    <mergeCell ref="C13:C14"/>
    <mergeCell ref="B5:E5"/>
    <mergeCell ref="E6:F6"/>
    <mergeCell ref="B7:G10"/>
    <mergeCell ref="B11:B12"/>
    <mergeCell ref="C11:C12"/>
  </mergeCells>
  <pageMargins left="0.7" right="0.7" top="0.75" bottom="0.75" header="0.3" footer="0.3"/>
  <pageSetup orientation="landscape" r:id="rId1"/>
  <headerFooter>
    <oddFooter>&amp;L_x000D_&amp;1#&amp;"Calibri"&amp;10&amp;K000000 Confidential – Oracle 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C974-9C54-47BD-A6CF-AD3D28B05DE3}">
  <dimension ref="A1:XFC34"/>
  <sheetViews>
    <sheetView tabSelected="1" topLeftCell="A9" zoomScaleNormal="100" workbookViewId="0">
      <selection activeCell="C11" sqref="C11:G11"/>
    </sheetView>
  </sheetViews>
  <sheetFormatPr defaultColWidth="0" defaultRowHeight="15.75" customHeight="1" zeroHeight="1"/>
  <cols>
    <col min="1" max="1" width="3.5703125" style="6" customWidth="1"/>
    <col min="2" max="2" width="35.42578125" customWidth="1"/>
    <col min="3" max="3" width="19.42578125" customWidth="1"/>
    <col min="4" max="4" width="6.140625" style="11" customWidth="1"/>
    <col min="5" max="5" width="28.85546875" style="11" customWidth="1"/>
    <col min="6" max="6" width="8.28515625" style="11" customWidth="1"/>
    <col min="7" max="7" width="9" style="11" bestFit="1" customWidth="1"/>
    <col min="8" max="8" width="3.85546875" style="11" customWidth="1"/>
    <col min="9" max="9" width="4.5703125" style="6" hidden="1"/>
    <col min="10" max="10" width="126.42578125" hidden="1"/>
    <col min="11" max="11" width="95.28515625" hidden="1"/>
    <col min="12" max="12" width="36.140625" hidden="1"/>
    <col min="13" max="16383" width="7.5703125" hidden="1"/>
    <col min="16384" max="16384" width="11.28515625" hidden="1" customWidth="1"/>
  </cols>
  <sheetData>
    <row r="1" spans="1:15" ht="12.75">
      <c r="A1" s="2"/>
      <c r="B1" s="3"/>
      <c r="C1" s="3"/>
      <c r="D1" s="3"/>
      <c r="E1" s="3"/>
      <c r="F1" s="4"/>
      <c r="G1" s="3"/>
      <c r="H1" s="3"/>
      <c r="I1" s="2"/>
      <c r="J1" s="3"/>
      <c r="K1" s="3"/>
      <c r="L1" s="3"/>
      <c r="M1" s="3"/>
      <c r="N1" s="3"/>
      <c r="O1" s="3"/>
    </row>
    <row r="2" spans="1:15" ht="12.75">
      <c r="A2" s="2"/>
      <c r="B2" s="3"/>
      <c r="C2" s="3"/>
      <c r="D2" s="3"/>
      <c r="E2" s="3"/>
      <c r="F2" s="4"/>
      <c r="G2" s="3"/>
      <c r="H2" s="3"/>
      <c r="I2" s="2"/>
      <c r="J2" s="3"/>
      <c r="K2" s="3"/>
      <c r="L2" s="3"/>
      <c r="M2" s="3"/>
      <c r="N2" s="3"/>
      <c r="O2" s="3"/>
    </row>
    <row r="3" spans="1:15" s="6" customFormat="1" ht="12.75">
      <c r="A3" s="2"/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2"/>
      <c r="O3" s="2"/>
    </row>
    <row r="4" spans="1:15" ht="12.75">
      <c r="A4" s="2"/>
      <c r="B4" s="3"/>
      <c r="C4" s="3"/>
      <c r="D4" s="3"/>
      <c r="E4" s="2"/>
      <c r="F4" s="4"/>
      <c r="G4" s="3"/>
      <c r="H4" s="3"/>
      <c r="I4" s="2"/>
      <c r="J4" s="3"/>
      <c r="K4" s="3"/>
      <c r="L4" s="3"/>
      <c r="M4" s="3"/>
      <c r="N4" s="3"/>
      <c r="O4" s="3"/>
    </row>
    <row r="5" spans="1:15" ht="59.25">
      <c r="A5" s="2"/>
      <c r="B5" s="94" t="s">
        <v>10</v>
      </c>
      <c r="C5" s="95"/>
      <c r="D5" s="95"/>
      <c r="E5" s="95"/>
      <c r="F5" s="95"/>
      <c r="G5" s="95"/>
      <c r="H5" s="30"/>
      <c r="I5" s="2"/>
      <c r="J5" s="3"/>
      <c r="K5" s="3"/>
      <c r="L5" s="3"/>
      <c r="M5" s="3"/>
      <c r="N5" s="3"/>
      <c r="O5" s="3"/>
    </row>
    <row r="6" spans="1:15" ht="13.5" customHeight="1">
      <c r="A6" s="2"/>
      <c r="B6" s="35"/>
      <c r="C6" s="36"/>
      <c r="D6" s="36"/>
      <c r="E6" s="36"/>
      <c r="F6" s="36"/>
      <c r="G6" s="36"/>
      <c r="H6" s="31"/>
      <c r="I6" s="2"/>
      <c r="J6" s="3"/>
      <c r="K6" s="3"/>
      <c r="L6" s="3"/>
      <c r="M6" s="3"/>
      <c r="N6" s="3"/>
      <c r="O6" s="3"/>
    </row>
    <row r="7" spans="1:15" ht="13.5" customHeight="1">
      <c r="A7" s="2"/>
      <c r="B7" s="34" t="s">
        <v>11</v>
      </c>
      <c r="C7" s="110" t="s">
        <v>12</v>
      </c>
      <c r="D7" s="110"/>
      <c r="E7" s="110"/>
      <c r="F7" s="110"/>
      <c r="G7" s="111"/>
      <c r="H7" s="3"/>
      <c r="I7" s="2"/>
      <c r="J7" s="3"/>
      <c r="K7" s="3"/>
      <c r="L7" s="3"/>
      <c r="M7" s="3"/>
      <c r="N7" s="3"/>
      <c r="O7" s="3"/>
    </row>
    <row r="8" spans="1:15" ht="217.5" customHeight="1">
      <c r="A8" s="2"/>
      <c r="B8" s="33" t="s">
        <v>38</v>
      </c>
      <c r="C8" s="109" t="s">
        <v>53</v>
      </c>
      <c r="D8" s="109"/>
      <c r="E8" s="109"/>
      <c r="F8" s="109"/>
      <c r="G8" s="109"/>
      <c r="H8" s="12"/>
      <c r="I8" s="3"/>
      <c r="J8" s="3"/>
      <c r="K8" s="3"/>
      <c r="L8" s="3"/>
      <c r="M8" s="3"/>
      <c r="N8" s="3"/>
      <c r="O8" s="3"/>
    </row>
    <row r="9" spans="1:15" ht="221.45" customHeight="1">
      <c r="A9" s="2"/>
      <c r="B9" s="33" t="s">
        <v>39</v>
      </c>
      <c r="C9" s="109" t="s">
        <v>54</v>
      </c>
      <c r="D9" s="109"/>
      <c r="E9" s="109"/>
      <c r="F9" s="109"/>
      <c r="G9" s="109"/>
      <c r="H9" s="12"/>
      <c r="I9" s="3"/>
      <c r="J9" s="3"/>
      <c r="K9" s="3"/>
      <c r="L9" s="3"/>
      <c r="M9" s="3"/>
      <c r="N9" s="3"/>
      <c r="O9" s="3"/>
    </row>
    <row r="10" spans="1:15" ht="109.5" customHeight="1">
      <c r="A10" s="2"/>
      <c r="B10" s="33" t="s">
        <v>13</v>
      </c>
      <c r="C10" s="109" t="s">
        <v>37</v>
      </c>
      <c r="D10" s="109"/>
      <c r="E10" s="109"/>
      <c r="F10" s="109"/>
      <c r="G10" s="109"/>
      <c r="H10" s="12"/>
      <c r="I10" s="3"/>
      <c r="J10" s="3"/>
      <c r="K10" s="12"/>
      <c r="L10" s="3"/>
      <c r="M10" s="3"/>
      <c r="N10" s="3"/>
      <c r="O10" s="3"/>
    </row>
    <row r="11" spans="1:15" ht="91.5" customHeight="1">
      <c r="A11" s="2"/>
      <c r="B11" s="33" t="s">
        <v>78</v>
      </c>
      <c r="C11" s="109" t="s">
        <v>80</v>
      </c>
      <c r="D11" s="109"/>
      <c r="E11" s="109"/>
      <c r="F11" s="109"/>
      <c r="G11" s="109"/>
      <c r="H11" s="12"/>
      <c r="I11" s="3"/>
      <c r="J11" s="3"/>
      <c r="K11" s="3"/>
      <c r="L11" s="3"/>
      <c r="M11" s="3"/>
      <c r="N11" s="3"/>
      <c r="O11" s="3"/>
    </row>
    <row r="12" spans="1:15" ht="88.5" customHeight="1">
      <c r="A12" s="2"/>
      <c r="B12" s="33" t="s">
        <v>79</v>
      </c>
      <c r="C12" s="109" t="s">
        <v>81</v>
      </c>
      <c r="D12" s="109"/>
      <c r="E12" s="109"/>
      <c r="F12" s="109"/>
      <c r="G12" s="109"/>
      <c r="H12" s="12"/>
      <c r="I12" s="3"/>
      <c r="J12" s="3"/>
      <c r="K12" s="3"/>
      <c r="L12" s="3"/>
      <c r="M12" s="3"/>
      <c r="N12" s="3"/>
      <c r="O12" s="3"/>
    </row>
    <row r="13" spans="1:15" ht="84" customHeight="1">
      <c r="A13" s="2"/>
      <c r="B13" s="33" t="s">
        <v>86</v>
      </c>
      <c r="C13" s="109" t="s">
        <v>88</v>
      </c>
      <c r="D13" s="109"/>
      <c r="E13" s="109"/>
      <c r="F13" s="109"/>
      <c r="G13" s="109"/>
      <c r="H13" s="12"/>
      <c r="I13" s="3"/>
      <c r="J13" s="3"/>
      <c r="K13" s="12"/>
      <c r="L13" s="3"/>
      <c r="M13" s="3"/>
      <c r="N13" s="3"/>
      <c r="O13" s="3"/>
    </row>
    <row r="14" spans="1:15" ht="83.45" customHeight="1">
      <c r="A14" s="2"/>
      <c r="B14" s="33" t="s">
        <v>87</v>
      </c>
      <c r="C14" s="109" t="s">
        <v>84</v>
      </c>
      <c r="D14" s="109"/>
      <c r="E14" s="109"/>
      <c r="F14" s="109"/>
      <c r="G14" s="109"/>
      <c r="H14" s="12"/>
      <c r="I14" s="3"/>
      <c r="J14" s="3"/>
      <c r="K14" s="12"/>
      <c r="L14" s="3"/>
      <c r="M14" s="3"/>
      <c r="N14" s="3"/>
      <c r="O14" s="3"/>
    </row>
    <row r="15" spans="1:15" ht="72" customHeight="1">
      <c r="B15" s="33" t="s">
        <v>82</v>
      </c>
      <c r="C15" s="109" t="s">
        <v>89</v>
      </c>
      <c r="D15" s="109"/>
      <c r="E15" s="109"/>
      <c r="F15" s="109"/>
      <c r="G15" s="109"/>
    </row>
    <row r="16" spans="1:15" ht="70.5" customHeight="1">
      <c r="B16" s="33" t="s">
        <v>83</v>
      </c>
      <c r="C16" s="109" t="s">
        <v>85</v>
      </c>
      <c r="D16" s="109"/>
      <c r="E16" s="109"/>
      <c r="F16" s="109"/>
      <c r="G16" s="109"/>
    </row>
    <row r="17" spans="3:3" ht="15.75" hidden="1" customHeight="1">
      <c r="C17" s="11"/>
    </row>
    <row r="34" ht="15.75" customHeight="1"/>
  </sheetData>
  <mergeCells count="11">
    <mergeCell ref="C13:G13"/>
    <mergeCell ref="C15:G15"/>
    <mergeCell ref="C16:G16"/>
    <mergeCell ref="C14:G14"/>
    <mergeCell ref="B5:G5"/>
    <mergeCell ref="C7:G7"/>
    <mergeCell ref="C8:G8"/>
    <mergeCell ref="C9:G9"/>
    <mergeCell ref="C10:G10"/>
    <mergeCell ref="C11:G11"/>
    <mergeCell ref="C12:G1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6C5F-C9F5-47A6-9167-095929EDC702}">
  <dimension ref="B2:E4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" defaultRowHeight="15"/>
  <cols>
    <col min="1" max="1" width="4.140625" customWidth="1"/>
    <col min="2" max="2" width="23.42578125" bestFit="1" customWidth="1"/>
    <col min="3" max="3" width="16.7109375" bestFit="1" customWidth="1"/>
    <col min="4" max="4" width="117.5703125" style="32" customWidth="1"/>
    <col min="16380" max="16384" width="61" customWidth="1"/>
  </cols>
  <sheetData>
    <row r="2" spans="2:4" ht="15.75">
      <c r="B2" s="112" t="s">
        <v>14</v>
      </c>
      <c r="C2" s="113"/>
      <c r="D2" s="113"/>
    </row>
    <row r="3" spans="2:4" ht="15.75">
      <c r="B3" s="40" t="s">
        <v>15</v>
      </c>
      <c r="C3" s="40" t="s">
        <v>40</v>
      </c>
      <c r="D3" s="40" t="s">
        <v>41</v>
      </c>
    </row>
    <row r="4" spans="2:4" ht="117.6" customHeight="1">
      <c r="B4" s="37" t="s">
        <v>16</v>
      </c>
      <c r="C4" s="25" t="s">
        <v>17</v>
      </c>
      <c r="D4" s="59" t="s">
        <v>51</v>
      </c>
    </row>
    <row r="5" spans="2:4" ht="110.1" customHeight="1">
      <c r="B5" s="37" t="s">
        <v>18</v>
      </c>
      <c r="C5" s="25" t="s">
        <v>19</v>
      </c>
      <c r="D5" s="59" t="s">
        <v>52</v>
      </c>
    </row>
    <row r="6" spans="2:4" ht="15.75">
      <c r="B6" s="38" t="s">
        <v>20</v>
      </c>
      <c r="C6" s="37"/>
      <c r="D6" s="37"/>
    </row>
    <row r="7" spans="2:4" ht="60">
      <c r="B7" s="37" t="s">
        <v>95</v>
      </c>
      <c r="C7" s="47">
        <v>100000</v>
      </c>
      <c r="D7" s="65" t="s">
        <v>90</v>
      </c>
    </row>
    <row r="8" spans="2:4" ht="15.75">
      <c r="B8" s="39" t="s">
        <v>21</v>
      </c>
      <c r="C8" s="48"/>
      <c r="D8" s="48"/>
    </row>
    <row r="9" spans="2:4" ht="30">
      <c r="B9" s="37" t="s">
        <v>96</v>
      </c>
      <c r="C9" s="49">
        <v>0</v>
      </c>
      <c r="D9" s="59" t="s">
        <v>42</v>
      </c>
    </row>
    <row r="10" spans="2:4" ht="15.75">
      <c r="B10" s="38" t="s">
        <v>22</v>
      </c>
      <c r="C10" s="37"/>
      <c r="D10" s="37"/>
    </row>
    <row r="11" spans="2:4">
      <c r="B11" s="37" t="s">
        <v>97</v>
      </c>
      <c r="C11" s="50"/>
      <c r="D11" s="37"/>
    </row>
    <row r="12" spans="2:4">
      <c r="B12" s="37" t="s">
        <v>98</v>
      </c>
      <c r="C12" s="47"/>
      <c r="D12" s="37"/>
    </row>
    <row r="13" spans="2:4" ht="15.75">
      <c r="B13" s="38" t="s">
        <v>23</v>
      </c>
      <c r="C13" s="37"/>
      <c r="D13" s="37"/>
    </row>
    <row r="14" spans="2:4">
      <c r="B14" s="37" t="s">
        <v>99</v>
      </c>
      <c r="C14" s="50"/>
      <c r="D14" s="37"/>
    </row>
    <row r="15" spans="2:4">
      <c r="B15" s="37" t="s">
        <v>100</v>
      </c>
      <c r="C15" s="51"/>
      <c r="D15" s="37"/>
    </row>
    <row r="16" spans="2:4" ht="30">
      <c r="B16" s="38" t="s">
        <v>92</v>
      </c>
      <c r="C16" s="52">
        <f>C7*C9</f>
        <v>0</v>
      </c>
      <c r="D16" s="59" t="s">
        <v>43</v>
      </c>
    </row>
    <row r="17" spans="2:4" ht="15.75">
      <c r="B17" s="39" t="s">
        <v>24</v>
      </c>
      <c r="C17" s="48"/>
      <c r="D17" s="48"/>
    </row>
    <row r="18" spans="2:4" ht="30">
      <c r="B18" s="37" t="s">
        <v>101</v>
      </c>
      <c r="C18" s="49">
        <v>1E-3</v>
      </c>
      <c r="D18" s="59" t="s">
        <v>44</v>
      </c>
    </row>
    <row r="19" spans="2:4" ht="15.75">
      <c r="B19" s="38" t="s">
        <v>22</v>
      </c>
      <c r="C19" s="37"/>
      <c r="D19" s="37"/>
    </row>
    <row r="20" spans="2:4">
      <c r="B20" s="37" t="s">
        <v>97</v>
      </c>
      <c r="C20" s="50"/>
      <c r="D20" s="37"/>
    </row>
    <row r="21" spans="2:4">
      <c r="B21" s="37" t="s">
        <v>102</v>
      </c>
      <c r="C21" s="47"/>
      <c r="D21" s="37"/>
    </row>
    <row r="22" spans="2:4" ht="15.75">
      <c r="B22" s="38" t="s">
        <v>23</v>
      </c>
      <c r="C22" s="37"/>
      <c r="D22" s="37"/>
    </row>
    <row r="23" spans="2:4">
      <c r="B23" s="37" t="s">
        <v>103</v>
      </c>
      <c r="C23" s="50"/>
      <c r="D23" s="37"/>
    </row>
    <row r="24" spans="2:4">
      <c r="B24" s="37" t="s">
        <v>100</v>
      </c>
      <c r="C24" s="51"/>
      <c r="D24" s="37"/>
    </row>
    <row r="25" spans="2:4" ht="30">
      <c r="B25" s="38" t="s">
        <v>93</v>
      </c>
      <c r="C25" s="52">
        <f>C7*C18</f>
        <v>100</v>
      </c>
      <c r="D25" s="59" t="s">
        <v>45</v>
      </c>
    </row>
    <row r="26" spans="2:4" ht="15.75">
      <c r="B26" s="39" t="s">
        <v>25</v>
      </c>
      <c r="C26" s="53"/>
      <c r="D26" s="48"/>
    </row>
    <row r="27" spans="2:4" ht="30">
      <c r="B27" s="37" t="s">
        <v>104</v>
      </c>
      <c r="C27" s="54">
        <v>8.9999999999999993E-3</v>
      </c>
      <c r="D27" s="59" t="s">
        <v>46</v>
      </c>
    </row>
    <row r="28" spans="2:4" ht="15.75">
      <c r="B28" s="38" t="s">
        <v>22</v>
      </c>
      <c r="C28" s="37"/>
      <c r="D28" s="37"/>
    </row>
    <row r="29" spans="2:4">
      <c r="B29" s="37" t="s">
        <v>97</v>
      </c>
      <c r="C29" s="50"/>
      <c r="D29" s="37"/>
    </row>
    <row r="30" spans="2:4">
      <c r="B30" s="37" t="s">
        <v>102</v>
      </c>
      <c r="C30" s="47"/>
      <c r="D30" s="37"/>
    </row>
    <row r="31" spans="2:4" ht="15.75">
      <c r="B31" s="38" t="s">
        <v>23</v>
      </c>
      <c r="C31" s="37"/>
      <c r="D31" s="37"/>
    </row>
    <row r="32" spans="2:4">
      <c r="B32" s="37" t="s">
        <v>99</v>
      </c>
      <c r="C32" s="50"/>
      <c r="D32" s="37"/>
    </row>
    <row r="33" spans="2:5" s="1" customFormat="1">
      <c r="B33" s="37" t="s">
        <v>105</v>
      </c>
      <c r="C33" s="51"/>
      <c r="D33" s="37"/>
    </row>
    <row r="34" spans="2:5" s="1" customFormat="1" ht="30">
      <c r="B34" s="38" t="s">
        <v>94</v>
      </c>
      <c r="C34" s="55">
        <f>(C7*C27)</f>
        <v>899.99999999999989</v>
      </c>
      <c r="D34" s="59" t="s">
        <v>47</v>
      </c>
    </row>
    <row r="35" spans="2:5" s="1" customFormat="1" ht="15.75">
      <c r="B35" s="39" t="s">
        <v>26</v>
      </c>
      <c r="C35" s="56"/>
      <c r="D35" s="48"/>
    </row>
    <row r="36" spans="2:5" s="1" customFormat="1">
      <c r="B36" s="37" t="s">
        <v>27</v>
      </c>
      <c r="C36" s="25"/>
      <c r="D36" s="37"/>
      <c r="E36" s="32"/>
    </row>
    <row r="37" spans="2:5" s="1" customFormat="1">
      <c r="B37" s="37" t="s">
        <v>28</v>
      </c>
      <c r="C37" s="25"/>
      <c r="D37" s="37"/>
    </row>
    <row r="38" spans="2:5" s="1" customFormat="1">
      <c r="B38" s="37" t="s">
        <v>29</v>
      </c>
      <c r="C38" s="25"/>
      <c r="D38" s="37"/>
    </row>
    <row r="39" spans="2:5" s="1" customFormat="1">
      <c r="B39" s="37" t="s">
        <v>30</v>
      </c>
      <c r="C39" s="25"/>
      <c r="D39" s="37"/>
    </row>
    <row r="40" spans="2:5" s="1" customFormat="1">
      <c r="B40" s="37" t="s">
        <v>31</v>
      </c>
      <c r="C40" s="49"/>
      <c r="D40" s="37"/>
    </row>
    <row r="41" spans="2:5" s="1" customFormat="1">
      <c r="B41" s="37" t="s">
        <v>32</v>
      </c>
      <c r="C41" s="57"/>
      <c r="D41" s="37"/>
    </row>
    <row r="42" spans="2:5" s="1" customFormat="1">
      <c r="B42" s="37" t="s">
        <v>33</v>
      </c>
      <c r="C42" s="58"/>
      <c r="D42" s="37"/>
    </row>
    <row r="43" spans="2:5" s="1" customFormat="1">
      <c r="B43" s="37" t="s">
        <v>34</v>
      </c>
      <c r="C43" s="57"/>
      <c r="D43" s="37"/>
    </row>
    <row r="44" spans="2:5" s="1" customFormat="1">
      <c r="B44" s="32"/>
      <c r="C44" s="32"/>
      <c r="D44" s="32"/>
    </row>
    <row r="45" spans="2:5">
      <c r="B45" s="32"/>
      <c r="C45" s="32"/>
    </row>
    <row r="46" spans="2:5">
      <c r="B46" s="32"/>
      <c r="C46" s="32"/>
    </row>
    <row r="47" spans="2:5">
      <c r="B47" s="32"/>
      <c r="C47" s="32"/>
    </row>
    <row r="48" spans="2:5">
      <c r="B48" s="32"/>
      <c r="C48" s="32"/>
    </row>
  </sheetData>
  <mergeCells count="1">
    <mergeCell ref="B2:D2"/>
  </mergeCells>
  <pageMargins left="1" right="1" top="1" bottom="1" header="0.5" footer="0.5"/>
  <pageSetup orientation="portrait" r:id="rId1"/>
  <headerFooter>
    <oddFooter>&amp;L_x000D_&amp;1#&amp;"Calibri"&amp;10&amp;K000000 Confidential – Oracle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7C3C-456C-443B-BA9F-77D28EEE2FA8}">
  <dimension ref="B1:D45"/>
  <sheetViews>
    <sheetView showGridLines="0" zoomScaleNormal="100" workbookViewId="0">
      <pane xSplit="2" ySplit="3" topLeftCell="C5" activePane="bottomRight" state="frozen"/>
      <selection pane="topRight" activeCell="C1" sqref="C1"/>
      <selection pane="bottomLeft" activeCell="A4" sqref="A4"/>
      <selection pane="bottomRight" activeCell="D11" sqref="D11"/>
    </sheetView>
  </sheetViews>
  <sheetFormatPr defaultColWidth="28.42578125" defaultRowHeight="15"/>
  <cols>
    <col min="1" max="1" width="4.140625" customWidth="1"/>
    <col min="2" max="2" width="21.85546875" style="32" bestFit="1" customWidth="1"/>
    <col min="3" max="3" width="13.42578125" style="60" customWidth="1"/>
    <col min="4" max="4" width="117.5703125" style="32" customWidth="1"/>
  </cols>
  <sheetData>
    <row r="1" spans="2:4" ht="13.5" customHeight="1"/>
    <row r="2" spans="2:4" ht="15.75">
      <c r="B2" s="114" t="s">
        <v>55</v>
      </c>
      <c r="C2" s="115"/>
      <c r="D2" s="115"/>
    </row>
    <row r="3" spans="2:4" ht="15.75">
      <c r="B3" s="40" t="s">
        <v>15</v>
      </c>
      <c r="C3" s="40" t="s">
        <v>56</v>
      </c>
      <c r="D3" s="40" t="s">
        <v>41</v>
      </c>
    </row>
    <row r="4" spans="2:4" ht="120">
      <c r="B4" s="37" t="s">
        <v>16</v>
      </c>
      <c r="C4" s="25" t="s">
        <v>57</v>
      </c>
      <c r="D4" s="59" t="s">
        <v>65</v>
      </c>
    </row>
    <row r="5" spans="2:4" ht="105">
      <c r="B5" s="37" t="s">
        <v>18</v>
      </c>
      <c r="C5" s="25" t="s">
        <v>58</v>
      </c>
      <c r="D5" s="59" t="s">
        <v>66</v>
      </c>
    </row>
    <row r="6" spans="2:4" ht="15.75">
      <c r="B6" s="38" t="s">
        <v>20</v>
      </c>
      <c r="C6" s="37"/>
      <c r="D6" s="37"/>
    </row>
    <row r="7" spans="2:4" ht="60">
      <c r="B7" s="37" t="s">
        <v>95</v>
      </c>
      <c r="C7" s="47">
        <v>100000</v>
      </c>
      <c r="D7" s="65" t="s">
        <v>91</v>
      </c>
    </row>
    <row r="8" spans="2:4" ht="15.75">
      <c r="B8" s="39" t="s">
        <v>21</v>
      </c>
      <c r="C8" s="48"/>
      <c r="D8" s="48"/>
    </row>
    <row r="9" spans="2:4" ht="30">
      <c r="B9" s="37" t="s">
        <v>106</v>
      </c>
      <c r="C9" s="49">
        <v>0</v>
      </c>
      <c r="D9" s="59" t="s">
        <v>42</v>
      </c>
    </row>
    <row r="10" spans="2:4" ht="15.75">
      <c r="B10" s="38" t="s">
        <v>22</v>
      </c>
      <c r="C10" s="37"/>
      <c r="D10" s="37"/>
    </row>
    <row r="11" spans="2:4" ht="242.45" customHeight="1">
      <c r="B11" s="37" t="s">
        <v>107</v>
      </c>
      <c r="C11" s="50">
        <v>1</v>
      </c>
      <c r="D11" s="59" t="s">
        <v>130</v>
      </c>
    </row>
    <row r="12" spans="2:4" ht="30">
      <c r="B12" s="37" t="s">
        <v>98</v>
      </c>
      <c r="C12" s="47">
        <f>(C7*C9)*C11</f>
        <v>0</v>
      </c>
      <c r="D12" s="59" t="s">
        <v>43</v>
      </c>
    </row>
    <row r="13" spans="2:4" ht="15.75">
      <c r="B13" s="38" t="s">
        <v>23</v>
      </c>
      <c r="C13" s="37"/>
      <c r="D13" s="37"/>
    </row>
    <row r="14" spans="2:4">
      <c r="B14" s="37" t="s">
        <v>103</v>
      </c>
      <c r="C14" s="50"/>
      <c r="D14" s="37"/>
    </row>
    <row r="15" spans="2:4">
      <c r="B15" s="37" t="s">
        <v>105</v>
      </c>
      <c r="C15" s="51"/>
      <c r="D15" s="37"/>
    </row>
    <row r="16" spans="2:4" ht="15.75">
      <c r="B16" s="38" t="s">
        <v>92</v>
      </c>
      <c r="C16" s="52">
        <v>0</v>
      </c>
      <c r="D16" s="66"/>
    </row>
    <row r="17" spans="2:4" ht="15.75">
      <c r="B17" s="39" t="s">
        <v>24</v>
      </c>
      <c r="C17" s="48"/>
      <c r="D17" s="48"/>
    </row>
    <row r="18" spans="2:4" ht="30">
      <c r="B18" s="37" t="s">
        <v>101</v>
      </c>
      <c r="C18" s="49">
        <v>1E-3</v>
      </c>
      <c r="D18" s="59" t="s">
        <v>44</v>
      </c>
    </row>
    <row r="19" spans="2:4" ht="15.75">
      <c r="B19" s="38" t="s">
        <v>22</v>
      </c>
      <c r="C19" s="37"/>
      <c r="D19" s="37"/>
    </row>
    <row r="20" spans="2:4" ht="243" customHeight="1">
      <c r="B20" s="37" t="s">
        <v>97</v>
      </c>
      <c r="C20" s="50">
        <v>1</v>
      </c>
      <c r="D20" s="59" t="s">
        <v>131</v>
      </c>
    </row>
    <row r="21" spans="2:4" ht="30">
      <c r="B21" s="37" t="s">
        <v>102</v>
      </c>
      <c r="C21" s="47">
        <f>(C7*C18)*C20</f>
        <v>100</v>
      </c>
      <c r="D21" s="59" t="s">
        <v>45</v>
      </c>
    </row>
    <row r="22" spans="2:4" ht="15.75">
      <c r="B22" s="38" t="s">
        <v>23</v>
      </c>
      <c r="C22" s="37"/>
      <c r="D22" s="37"/>
    </row>
    <row r="23" spans="2:4">
      <c r="B23" s="37" t="s">
        <v>103</v>
      </c>
      <c r="C23" s="50"/>
      <c r="D23" s="37"/>
    </row>
    <row r="24" spans="2:4">
      <c r="B24" s="37" t="s">
        <v>100</v>
      </c>
      <c r="C24" s="51"/>
      <c r="D24" s="37"/>
    </row>
    <row r="25" spans="2:4" ht="15.75">
      <c r="B25" s="38" t="s">
        <v>93</v>
      </c>
      <c r="C25" s="52">
        <v>0</v>
      </c>
      <c r="D25" s="66"/>
    </row>
    <row r="26" spans="2:4" ht="15.75">
      <c r="B26" s="39" t="s">
        <v>25</v>
      </c>
      <c r="C26" s="53"/>
      <c r="D26" s="48"/>
    </row>
    <row r="27" spans="2:4" ht="30">
      <c r="B27" s="37" t="s">
        <v>108</v>
      </c>
      <c r="C27" s="54">
        <v>8.9999999999999993E-3</v>
      </c>
      <c r="D27" s="59" t="s">
        <v>46</v>
      </c>
    </row>
    <row r="28" spans="2:4" ht="15.75">
      <c r="B28" s="38" t="s">
        <v>22</v>
      </c>
      <c r="C28" s="37"/>
      <c r="D28" s="37"/>
    </row>
    <row r="29" spans="2:4" ht="234.75">
      <c r="B29" s="37" t="s">
        <v>107</v>
      </c>
      <c r="C29" s="50">
        <v>1</v>
      </c>
      <c r="D29" s="59" t="s">
        <v>132</v>
      </c>
    </row>
    <row r="30" spans="2:4" ht="30">
      <c r="B30" s="37" t="s">
        <v>98</v>
      </c>
      <c r="C30" s="47">
        <f>(C7*C27)*C29</f>
        <v>899.99999999999989</v>
      </c>
      <c r="D30" s="59" t="s">
        <v>47</v>
      </c>
    </row>
    <row r="31" spans="2:4" ht="15.75">
      <c r="B31" s="38" t="s">
        <v>23</v>
      </c>
      <c r="C31" s="37"/>
      <c r="D31" s="37"/>
    </row>
    <row r="32" spans="2:4">
      <c r="B32" s="37" t="s">
        <v>99</v>
      </c>
      <c r="C32" s="50"/>
      <c r="D32" s="37"/>
    </row>
    <row r="33" spans="2:4" s="32" customFormat="1">
      <c r="B33" s="37" t="s">
        <v>105</v>
      </c>
      <c r="C33" s="51"/>
      <c r="D33" s="37"/>
    </row>
    <row r="34" spans="2:4" s="32" customFormat="1" ht="15.75">
      <c r="B34" s="38" t="s">
        <v>94</v>
      </c>
      <c r="C34" s="55">
        <f>(C7*C27)-C30</f>
        <v>0</v>
      </c>
      <c r="D34" s="59"/>
    </row>
    <row r="35" spans="2:4" s="32" customFormat="1" ht="15.75">
      <c r="B35" s="39" t="s">
        <v>26</v>
      </c>
      <c r="C35" s="56"/>
      <c r="D35" s="48"/>
    </row>
    <row r="36" spans="2:4" s="32" customFormat="1">
      <c r="B36" s="37" t="s">
        <v>27</v>
      </c>
      <c r="C36" s="25"/>
      <c r="D36" s="37"/>
    </row>
    <row r="37" spans="2:4" s="32" customFormat="1">
      <c r="B37" s="37" t="s">
        <v>28</v>
      </c>
      <c r="C37" s="25"/>
      <c r="D37" s="37"/>
    </row>
    <row r="38" spans="2:4" s="32" customFormat="1">
      <c r="B38" s="37" t="s">
        <v>29</v>
      </c>
      <c r="C38" s="25"/>
      <c r="D38" s="37"/>
    </row>
    <row r="39" spans="2:4" s="32" customFormat="1">
      <c r="B39" s="37" t="s">
        <v>30</v>
      </c>
      <c r="C39" s="25"/>
      <c r="D39" s="37"/>
    </row>
    <row r="40" spans="2:4" s="32" customFormat="1">
      <c r="B40" s="37" t="s">
        <v>31</v>
      </c>
      <c r="C40" s="49"/>
      <c r="D40" s="37"/>
    </row>
    <row r="41" spans="2:4" s="32" customFormat="1">
      <c r="B41" s="37" t="s">
        <v>32</v>
      </c>
      <c r="C41" s="57"/>
      <c r="D41" s="37"/>
    </row>
    <row r="42" spans="2:4" s="32" customFormat="1">
      <c r="B42" s="37" t="s">
        <v>33</v>
      </c>
      <c r="C42" s="58"/>
      <c r="D42" s="37"/>
    </row>
    <row r="43" spans="2:4" s="32" customFormat="1">
      <c r="B43" s="37" t="s">
        <v>34</v>
      </c>
      <c r="C43" s="57"/>
      <c r="D43" s="37"/>
    </row>
    <row r="44" spans="2:4" s="32" customFormat="1">
      <c r="C44" s="60"/>
    </row>
    <row r="45" spans="2:4" s="32" customFormat="1">
      <c r="C45" s="60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BDDF-4CEE-4754-91E3-21E062C9C05C}">
  <dimension ref="B2:D45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7" sqref="D7"/>
    </sheetView>
  </sheetViews>
  <sheetFormatPr defaultColWidth="28.42578125" defaultRowHeight="15"/>
  <cols>
    <col min="1" max="1" width="4.140625" customWidth="1"/>
    <col min="2" max="2" width="21.85546875" bestFit="1" customWidth="1"/>
    <col min="3" max="3" width="13.42578125" style="63" bestFit="1" customWidth="1"/>
    <col min="4" max="4" width="117.5703125" style="32" customWidth="1"/>
  </cols>
  <sheetData>
    <row r="2" spans="2:4" ht="15.75">
      <c r="B2" s="114" t="s">
        <v>59</v>
      </c>
      <c r="C2" s="115"/>
      <c r="D2" s="115"/>
    </row>
    <row r="3" spans="2:4" ht="15.75">
      <c r="B3" s="40" t="s">
        <v>15</v>
      </c>
      <c r="C3" s="40" t="s">
        <v>56</v>
      </c>
      <c r="D3" s="40" t="s">
        <v>41</v>
      </c>
    </row>
    <row r="4" spans="2:4" ht="120">
      <c r="B4" s="37" t="s">
        <v>16</v>
      </c>
      <c r="C4" s="25" t="s">
        <v>60</v>
      </c>
      <c r="D4" s="59" t="s">
        <v>65</v>
      </c>
    </row>
    <row r="5" spans="2:4" ht="105">
      <c r="B5" s="37" t="s">
        <v>18</v>
      </c>
      <c r="C5" s="25" t="s">
        <v>61</v>
      </c>
      <c r="D5" s="59" t="s">
        <v>66</v>
      </c>
    </row>
    <row r="6" spans="2:4" ht="15.75">
      <c r="B6" s="38" t="s">
        <v>20</v>
      </c>
      <c r="C6" s="37"/>
      <c r="D6" s="37"/>
    </row>
    <row r="7" spans="2:4" ht="60">
      <c r="B7" s="37" t="s">
        <v>95</v>
      </c>
      <c r="C7" s="47">
        <v>100000</v>
      </c>
      <c r="D7" s="65" t="s">
        <v>90</v>
      </c>
    </row>
    <row r="8" spans="2:4" ht="15.75">
      <c r="B8" s="39" t="s">
        <v>21</v>
      </c>
      <c r="C8" s="48"/>
      <c r="D8" s="48"/>
    </row>
    <row r="9" spans="2:4" ht="30">
      <c r="B9" s="37" t="s">
        <v>96</v>
      </c>
      <c r="C9" s="49">
        <v>0</v>
      </c>
      <c r="D9" s="59" t="s">
        <v>74</v>
      </c>
    </row>
    <row r="10" spans="2:4" ht="15.75">
      <c r="B10" s="38" t="s">
        <v>22</v>
      </c>
      <c r="C10" s="37"/>
      <c r="D10" s="37"/>
    </row>
    <row r="11" spans="2:4">
      <c r="B11" s="37" t="s">
        <v>107</v>
      </c>
      <c r="C11" s="50"/>
      <c r="D11" s="37"/>
    </row>
    <row r="12" spans="2:4">
      <c r="B12" s="37" t="s">
        <v>98</v>
      </c>
      <c r="C12" s="47"/>
      <c r="D12" s="37"/>
    </row>
    <row r="13" spans="2:4" ht="15.75">
      <c r="B13" s="38" t="s">
        <v>23</v>
      </c>
      <c r="C13" s="37"/>
      <c r="D13" s="37"/>
    </row>
    <row r="14" spans="2:4" ht="45.75">
      <c r="B14" s="37" t="s">
        <v>99</v>
      </c>
      <c r="C14" s="50">
        <v>0.7</v>
      </c>
      <c r="D14" s="59" t="s">
        <v>75</v>
      </c>
    </row>
    <row r="15" spans="2:4" ht="30">
      <c r="B15" s="37" t="s">
        <v>105</v>
      </c>
      <c r="C15" s="50">
        <f>((C9*C14)*(-1))+C9</f>
        <v>0</v>
      </c>
      <c r="D15" s="59" t="s">
        <v>42</v>
      </c>
    </row>
    <row r="16" spans="2:4" ht="30">
      <c r="B16" s="38" t="s">
        <v>92</v>
      </c>
      <c r="C16" s="52">
        <f>C7*C15</f>
        <v>0</v>
      </c>
      <c r="D16" s="59" t="s">
        <v>43</v>
      </c>
    </row>
    <row r="17" spans="2:4" ht="15.75">
      <c r="B17" s="39" t="s">
        <v>24</v>
      </c>
      <c r="C17" s="48"/>
      <c r="D17" s="48"/>
    </row>
    <row r="18" spans="2:4" ht="30">
      <c r="B18" s="37" t="s">
        <v>101</v>
      </c>
      <c r="C18" s="49">
        <v>1E-3</v>
      </c>
      <c r="D18" s="59" t="s">
        <v>70</v>
      </c>
    </row>
    <row r="19" spans="2:4" ht="15.75">
      <c r="B19" s="38" t="s">
        <v>22</v>
      </c>
      <c r="C19" s="37"/>
      <c r="D19" s="37"/>
    </row>
    <row r="20" spans="2:4">
      <c r="B20" s="37" t="s">
        <v>107</v>
      </c>
      <c r="C20" s="50"/>
      <c r="D20" s="37"/>
    </row>
    <row r="21" spans="2:4">
      <c r="B21" s="37" t="s">
        <v>102</v>
      </c>
      <c r="C21" s="47"/>
      <c r="D21" s="37"/>
    </row>
    <row r="22" spans="2:4" ht="15.75">
      <c r="B22" s="38" t="s">
        <v>23</v>
      </c>
      <c r="C22" s="37"/>
      <c r="D22" s="37"/>
    </row>
    <row r="23" spans="2:4" ht="45.75">
      <c r="B23" s="37" t="s">
        <v>99</v>
      </c>
      <c r="C23" s="50">
        <v>0.6</v>
      </c>
      <c r="D23" s="59" t="s">
        <v>76</v>
      </c>
    </row>
    <row r="24" spans="2:4" ht="30">
      <c r="B24" s="37" t="s">
        <v>105</v>
      </c>
      <c r="C24" s="49">
        <f>((C18*C23)*(-1))+C18</f>
        <v>4.0000000000000007E-4</v>
      </c>
      <c r="D24" s="59" t="s">
        <v>44</v>
      </c>
    </row>
    <row r="25" spans="2:4" ht="30">
      <c r="B25" s="38" t="s">
        <v>93</v>
      </c>
      <c r="C25" s="52">
        <f>C7*C24</f>
        <v>40.000000000000007</v>
      </c>
      <c r="D25" s="59" t="s">
        <v>45</v>
      </c>
    </row>
    <row r="26" spans="2:4" ht="15.75">
      <c r="B26" s="39" t="s">
        <v>25</v>
      </c>
      <c r="C26" s="53"/>
      <c r="D26" s="48"/>
    </row>
    <row r="27" spans="2:4" ht="30">
      <c r="B27" s="37" t="s">
        <v>104</v>
      </c>
      <c r="C27" s="58">
        <v>8.9999999999999993E-3</v>
      </c>
      <c r="D27" s="59" t="s">
        <v>71</v>
      </c>
    </row>
    <row r="28" spans="2:4" ht="15.75">
      <c r="B28" s="38" t="s">
        <v>22</v>
      </c>
      <c r="C28" s="37"/>
      <c r="D28" s="37"/>
    </row>
    <row r="29" spans="2:4">
      <c r="B29" s="37" t="s">
        <v>107</v>
      </c>
      <c r="C29" s="50"/>
      <c r="D29" s="37"/>
    </row>
    <row r="30" spans="2:4">
      <c r="B30" s="37" t="s">
        <v>102</v>
      </c>
      <c r="C30" s="47"/>
      <c r="D30" s="37"/>
    </row>
    <row r="31" spans="2:4" ht="15.75">
      <c r="B31" s="38" t="s">
        <v>23</v>
      </c>
      <c r="C31" s="37"/>
      <c r="D31" s="37"/>
    </row>
    <row r="32" spans="2:4" ht="45.75">
      <c r="B32" s="37" t="s">
        <v>99</v>
      </c>
      <c r="C32" s="50">
        <v>0.6</v>
      </c>
      <c r="D32" s="59" t="s">
        <v>77</v>
      </c>
    </row>
    <row r="33" spans="2:4" s="32" customFormat="1" ht="30">
      <c r="B33" s="37" t="s">
        <v>105</v>
      </c>
      <c r="C33" s="49">
        <f>((C27*C32)*(-1))+C27</f>
        <v>3.5999999999999999E-3</v>
      </c>
      <c r="D33" s="59" t="s">
        <v>46</v>
      </c>
    </row>
    <row r="34" spans="2:4" s="32" customFormat="1" ht="30">
      <c r="B34" s="38" t="s">
        <v>94</v>
      </c>
      <c r="C34" s="55">
        <f>(C7*C33)</f>
        <v>360</v>
      </c>
      <c r="D34" s="59" t="s">
        <v>47</v>
      </c>
    </row>
    <row r="35" spans="2:4" s="32" customFormat="1" ht="15.75">
      <c r="B35" s="39" t="s">
        <v>26</v>
      </c>
      <c r="C35" s="56"/>
      <c r="D35" s="48"/>
    </row>
    <row r="36" spans="2:4" s="32" customFormat="1" ht="45">
      <c r="B36" s="37" t="s">
        <v>27</v>
      </c>
      <c r="C36" s="25" t="s">
        <v>17</v>
      </c>
      <c r="D36" s="59" t="s">
        <v>67</v>
      </c>
    </row>
    <row r="37" spans="2:4" s="32" customFormat="1" ht="45">
      <c r="B37" s="37" t="s">
        <v>28</v>
      </c>
      <c r="C37" s="25" t="s">
        <v>19</v>
      </c>
      <c r="D37" s="59" t="s">
        <v>68</v>
      </c>
    </row>
    <row r="38" spans="2:4" s="32" customFormat="1" ht="30">
      <c r="B38" s="37" t="s">
        <v>29</v>
      </c>
      <c r="C38" s="61">
        <v>0</v>
      </c>
      <c r="D38" s="59" t="s">
        <v>74</v>
      </c>
    </row>
    <row r="39" spans="2:4" s="32" customFormat="1" ht="30">
      <c r="B39" s="37" t="s">
        <v>30</v>
      </c>
      <c r="C39" s="62">
        <f>C7*C38</f>
        <v>0</v>
      </c>
      <c r="D39" s="59" t="s">
        <v>69</v>
      </c>
    </row>
    <row r="40" spans="2:4" s="32" customFormat="1" ht="30">
      <c r="B40" s="37" t="s">
        <v>31</v>
      </c>
      <c r="C40" s="49">
        <v>1E-3</v>
      </c>
      <c r="D40" s="59" t="s">
        <v>70</v>
      </c>
    </row>
    <row r="41" spans="2:4" s="32" customFormat="1" ht="30">
      <c r="B41" s="37" t="s">
        <v>32</v>
      </c>
      <c r="C41" s="57">
        <f>C7*C40</f>
        <v>100</v>
      </c>
      <c r="D41" s="59" t="s">
        <v>73</v>
      </c>
    </row>
    <row r="42" spans="2:4" s="32" customFormat="1" ht="30">
      <c r="B42" s="37" t="s">
        <v>33</v>
      </c>
      <c r="C42" s="58">
        <v>8.9999999999999993E-3</v>
      </c>
      <c r="D42" s="59" t="s">
        <v>71</v>
      </c>
    </row>
    <row r="43" spans="2:4" s="32" customFormat="1" ht="30">
      <c r="B43" s="37" t="s">
        <v>34</v>
      </c>
      <c r="C43" s="57">
        <f>C7*C42</f>
        <v>899.99999999999989</v>
      </c>
      <c r="D43" s="59" t="s">
        <v>72</v>
      </c>
    </row>
    <row r="44" spans="2:4" s="32" customFormat="1">
      <c r="C44" s="60"/>
    </row>
    <row r="45" spans="2:4" s="32" customFormat="1">
      <c r="C45" s="60"/>
    </row>
  </sheetData>
  <mergeCells count="1"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9F22-ADA6-4C40-921A-0B9C6B4E363D}">
  <dimension ref="B2:D45"/>
  <sheetViews>
    <sheetView showGridLines="0" zoomScaleNormal="100" workbookViewId="0">
      <pane xSplit="2" ySplit="3" topLeftCell="C5" activePane="bottomRight" state="frozen"/>
      <selection pane="topRight" activeCell="C1" sqref="C1"/>
      <selection pane="bottomLeft" activeCell="A4" sqref="A4"/>
      <selection pane="bottomRight" activeCell="D9" sqref="D9"/>
    </sheetView>
  </sheetViews>
  <sheetFormatPr defaultColWidth="28.42578125" defaultRowHeight="15"/>
  <cols>
    <col min="1" max="1" width="4.140625" customWidth="1"/>
    <col min="2" max="2" width="21.85546875" bestFit="1" customWidth="1"/>
    <col min="3" max="3" width="13.42578125" style="63" bestFit="1" customWidth="1"/>
    <col min="4" max="4" width="117.5703125" style="32" customWidth="1"/>
    <col min="5" max="5" width="20.28515625" customWidth="1"/>
    <col min="6" max="6" width="17.5703125" customWidth="1"/>
    <col min="7" max="7" width="17.85546875" customWidth="1"/>
    <col min="8" max="8" width="14.85546875" customWidth="1"/>
    <col min="9" max="9" width="13.5703125" customWidth="1"/>
    <col min="10" max="10" width="17.85546875" customWidth="1"/>
    <col min="11" max="11" width="12.140625" customWidth="1"/>
    <col min="12" max="12" width="15.42578125" customWidth="1"/>
    <col min="13" max="13" width="12.85546875" customWidth="1"/>
  </cols>
  <sheetData>
    <row r="2" spans="2:4" ht="15.75">
      <c r="B2" s="114" t="s">
        <v>62</v>
      </c>
      <c r="C2" s="115"/>
      <c r="D2" s="115"/>
    </row>
    <row r="3" spans="2:4" ht="15.75">
      <c r="B3" s="40" t="s">
        <v>15</v>
      </c>
      <c r="C3" s="40" t="s">
        <v>56</v>
      </c>
      <c r="D3" s="40" t="s">
        <v>41</v>
      </c>
    </row>
    <row r="4" spans="2:4" ht="120">
      <c r="B4" s="37" t="s">
        <v>16</v>
      </c>
      <c r="C4" s="25" t="s">
        <v>63</v>
      </c>
      <c r="D4" s="59" t="s">
        <v>65</v>
      </c>
    </row>
    <row r="5" spans="2:4" ht="105">
      <c r="B5" s="37" t="s">
        <v>18</v>
      </c>
      <c r="C5" s="25" t="s">
        <v>64</v>
      </c>
      <c r="D5" s="59" t="s">
        <v>66</v>
      </c>
    </row>
    <row r="6" spans="2:4" ht="15.75">
      <c r="B6" s="38" t="s">
        <v>20</v>
      </c>
      <c r="C6" s="37"/>
      <c r="D6" s="37"/>
    </row>
    <row r="7" spans="2:4" ht="60">
      <c r="B7" s="37" t="s">
        <v>95</v>
      </c>
      <c r="C7" s="47">
        <v>100000</v>
      </c>
      <c r="D7" s="65" t="s">
        <v>112</v>
      </c>
    </row>
    <row r="8" spans="2:4" ht="15.75">
      <c r="B8" s="39" t="s">
        <v>21</v>
      </c>
      <c r="C8" s="48"/>
      <c r="D8" s="48"/>
    </row>
    <row r="9" spans="2:4" ht="45">
      <c r="B9" s="37" t="s">
        <v>96</v>
      </c>
      <c r="C9" s="49">
        <v>0</v>
      </c>
      <c r="D9" s="65" t="s">
        <v>113</v>
      </c>
    </row>
    <row r="10" spans="2:4" ht="15.75">
      <c r="B10" s="38" t="s">
        <v>22</v>
      </c>
      <c r="C10" s="37"/>
      <c r="D10" s="37"/>
    </row>
    <row r="11" spans="2:4">
      <c r="B11" s="37" t="s">
        <v>97</v>
      </c>
      <c r="C11" s="50"/>
      <c r="D11" s="37"/>
    </row>
    <row r="12" spans="2:4">
      <c r="B12" s="37" t="s">
        <v>102</v>
      </c>
      <c r="C12" s="47"/>
      <c r="D12" s="37"/>
    </row>
    <row r="13" spans="2:4" ht="15.75">
      <c r="B13" s="38" t="s">
        <v>23</v>
      </c>
      <c r="C13" s="37"/>
      <c r="D13" s="37"/>
    </row>
    <row r="14" spans="2:4">
      <c r="B14" s="37" t="s">
        <v>99</v>
      </c>
      <c r="C14" s="50"/>
      <c r="D14" s="37"/>
    </row>
    <row r="15" spans="2:4">
      <c r="B15" s="37" t="s">
        <v>105</v>
      </c>
      <c r="C15" s="64"/>
      <c r="D15" s="37"/>
    </row>
    <row r="16" spans="2:4" ht="30">
      <c r="B16" s="38" t="s">
        <v>92</v>
      </c>
      <c r="C16" s="52">
        <f>C7*C9</f>
        <v>0</v>
      </c>
      <c r="D16" s="59" t="s">
        <v>43</v>
      </c>
    </row>
    <row r="17" spans="2:4" ht="15.75">
      <c r="B17" s="39" t="s">
        <v>24</v>
      </c>
      <c r="C17" s="48"/>
      <c r="D17" s="48"/>
    </row>
    <row r="18" spans="2:4" ht="45">
      <c r="B18" s="37" t="s">
        <v>109</v>
      </c>
      <c r="C18" s="49">
        <v>0</v>
      </c>
      <c r="D18" s="65" t="s">
        <v>114</v>
      </c>
    </row>
    <row r="19" spans="2:4" ht="15.75">
      <c r="B19" s="38" t="s">
        <v>22</v>
      </c>
      <c r="C19" s="37"/>
      <c r="D19" s="37"/>
    </row>
    <row r="20" spans="2:4">
      <c r="B20" s="37" t="s">
        <v>97</v>
      </c>
      <c r="C20" s="50"/>
      <c r="D20" s="37"/>
    </row>
    <row r="21" spans="2:4">
      <c r="B21" s="37" t="s">
        <v>102</v>
      </c>
      <c r="C21" s="47"/>
      <c r="D21" s="37"/>
    </row>
    <row r="22" spans="2:4" ht="15.75">
      <c r="B22" s="38" t="s">
        <v>23</v>
      </c>
      <c r="C22" s="37"/>
      <c r="D22" s="37"/>
    </row>
    <row r="23" spans="2:4">
      <c r="B23" s="37" t="s">
        <v>103</v>
      </c>
      <c r="C23" s="50"/>
      <c r="D23" s="37"/>
    </row>
    <row r="24" spans="2:4">
      <c r="B24" s="37" t="s">
        <v>100</v>
      </c>
      <c r="C24" s="64"/>
      <c r="D24" s="37"/>
    </row>
    <row r="25" spans="2:4" ht="30">
      <c r="B25" s="38" t="s">
        <v>110</v>
      </c>
      <c r="C25" s="52">
        <f>C7*C18</f>
        <v>0</v>
      </c>
      <c r="D25" s="59" t="s">
        <v>45</v>
      </c>
    </row>
    <row r="26" spans="2:4" ht="15.75">
      <c r="B26" s="39" t="s">
        <v>25</v>
      </c>
      <c r="C26" s="53"/>
      <c r="D26" s="48"/>
    </row>
    <row r="27" spans="2:4" ht="30">
      <c r="B27" s="37" t="s">
        <v>104</v>
      </c>
      <c r="C27" s="54">
        <v>0</v>
      </c>
      <c r="D27" s="59" t="s">
        <v>46</v>
      </c>
    </row>
    <row r="28" spans="2:4" ht="15.75">
      <c r="B28" s="38" t="s">
        <v>22</v>
      </c>
      <c r="C28" s="37"/>
      <c r="D28" s="37"/>
    </row>
    <row r="29" spans="2:4">
      <c r="B29" s="37" t="s">
        <v>107</v>
      </c>
      <c r="C29" s="50"/>
      <c r="D29" s="37"/>
    </row>
    <row r="30" spans="2:4">
      <c r="B30" s="37" t="s">
        <v>102</v>
      </c>
      <c r="C30" s="47"/>
      <c r="D30" s="37"/>
    </row>
    <row r="31" spans="2:4" ht="15.75">
      <c r="B31" s="38" t="s">
        <v>23</v>
      </c>
      <c r="C31" s="37"/>
      <c r="D31" s="37"/>
    </row>
    <row r="32" spans="2:4">
      <c r="B32" s="37" t="s">
        <v>103</v>
      </c>
      <c r="C32" s="50"/>
      <c r="D32" s="37"/>
    </row>
    <row r="33" spans="2:4" s="32" customFormat="1">
      <c r="B33" s="37" t="s">
        <v>100</v>
      </c>
      <c r="C33" s="64"/>
      <c r="D33" s="37"/>
    </row>
    <row r="34" spans="2:4" s="32" customFormat="1" ht="30">
      <c r="B34" s="38" t="s">
        <v>111</v>
      </c>
      <c r="C34" s="55">
        <f>C7*C27</f>
        <v>0</v>
      </c>
      <c r="D34" s="59" t="s">
        <v>47</v>
      </c>
    </row>
    <row r="35" spans="2:4" s="32" customFormat="1" ht="15.75">
      <c r="B35" s="39" t="s">
        <v>26</v>
      </c>
      <c r="C35" s="56"/>
      <c r="D35" s="48"/>
    </row>
    <row r="36" spans="2:4" s="32" customFormat="1" ht="45">
      <c r="B36" s="37" t="s">
        <v>27</v>
      </c>
      <c r="C36" s="25" t="s">
        <v>17</v>
      </c>
      <c r="D36" s="59" t="s">
        <v>67</v>
      </c>
    </row>
    <row r="37" spans="2:4" s="32" customFormat="1" ht="45">
      <c r="B37" s="37" t="s">
        <v>28</v>
      </c>
      <c r="C37" s="25" t="s">
        <v>19</v>
      </c>
      <c r="D37" s="59" t="s">
        <v>68</v>
      </c>
    </row>
    <row r="38" spans="2:4" s="32" customFormat="1" ht="30">
      <c r="B38" s="37" t="s">
        <v>29</v>
      </c>
      <c r="C38" s="49">
        <v>0</v>
      </c>
      <c r="D38" s="59" t="s">
        <v>74</v>
      </c>
    </row>
    <row r="39" spans="2:4" s="32" customFormat="1" ht="30">
      <c r="B39" s="37" t="s">
        <v>30</v>
      </c>
      <c r="C39" s="62">
        <f>C7*C38</f>
        <v>0</v>
      </c>
      <c r="D39" s="59" t="s">
        <v>69</v>
      </c>
    </row>
    <row r="40" spans="2:4" s="32" customFormat="1" ht="30">
      <c r="B40" s="37" t="s">
        <v>31</v>
      </c>
      <c r="C40" s="49">
        <v>1E-3</v>
      </c>
      <c r="D40" s="59" t="s">
        <v>70</v>
      </c>
    </row>
    <row r="41" spans="2:4" s="32" customFormat="1" ht="30">
      <c r="B41" s="37" t="s">
        <v>32</v>
      </c>
      <c r="C41" s="57">
        <f>C7*C40</f>
        <v>100</v>
      </c>
      <c r="D41" s="59" t="s">
        <v>73</v>
      </c>
    </row>
    <row r="42" spans="2:4" s="32" customFormat="1" ht="30">
      <c r="B42" s="37" t="s">
        <v>33</v>
      </c>
      <c r="C42" s="49">
        <v>8.9999999999999993E-3</v>
      </c>
      <c r="D42" s="59" t="s">
        <v>71</v>
      </c>
    </row>
    <row r="43" spans="2:4" s="32" customFormat="1" ht="30">
      <c r="B43" s="37" t="s">
        <v>34</v>
      </c>
      <c r="C43" s="57">
        <f>C7*C42</f>
        <v>899.99999999999989</v>
      </c>
      <c r="D43" s="59" t="s">
        <v>72</v>
      </c>
    </row>
    <row r="44" spans="2:4" s="32" customFormat="1">
      <c r="C44" s="60"/>
    </row>
    <row r="45" spans="2:4" s="32" customFormat="1" ht="16.5" customHeight="1">
      <c r="C45" s="60"/>
    </row>
  </sheetData>
  <mergeCells count="1">
    <mergeCell ref="B2:D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FF4D-43C6-4947-9F47-514A86573158}">
  <dimension ref="A1:E3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9" sqref="I29"/>
    </sheetView>
  </sheetViews>
  <sheetFormatPr defaultColWidth="8.7109375" defaultRowHeight="14.25"/>
  <cols>
    <col min="1" max="1" width="19.5703125" style="76" bestFit="1" customWidth="1"/>
    <col min="2" max="2" width="27.140625" style="83" bestFit="1" customWidth="1"/>
    <col min="3" max="3" width="30.42578125" style="84" bestFit="1" customWidth="1"/>
    <col min="4" max="4" width="30.42578125" style="85" bestFit="1" customWidth="1"/>
    <col min="5" max="5" width="30.42578125" style="76" bestFit="1" customWidth="1"/>
    <col min="6" max="16384" width="8.7109375" style="76"/>
  </cols>
  <sheetData>
    <row r="1" spans="1:5" s="73" customFormat="1" ht="30">
      <c r="A1" s="70"/>
      <c r="B1" s="71" t="s">
        <v>133</v>
      </c>
      <c r="C1" s="71" t="s">
        <v>134</v>
      </c>
      <c r="D1" s="72" t="s">
        <v>135</v>
      </c>
      <c r="E1" s="72" t="s">
        <v>62</v>
      </c>
    </row>
    <row r="2" spans="1:5">
      <c r="A2" s="74" t="s">
        <v>16</v>
      </c>
      <c r="B2" s="75" t="s">
        <v>118</v>
      </c>
      <c r="C2" s="75" t="s">
        <v>118</v>
      </c>
      <c r="D2" s="74" t="s">
        <v>118</v>
      </c>
      <c r="E2" s="74" t="s">
        <v>118</v>
      </c>
    </row>
    <row r="3" spans="1:5">
      <c r="A3" s="74" t="s">
        <v>18</v>
      </c>
      <c r="B3" s="75" t="s">
        <v>119</v>
      </c>
      <c r="C3" s="75" t="s">
        <v>119</v>
      </c>
      <c r="D3" s="74" t="s">
        <v>119</v>
      </c>
      <c r="E3" s="74" t="s">
        <v>119</v>
      </c>
    </row>
    <row r="4" spans="1:5">
      <c r="A4" s="74" t="s">
        <v>95</v>
      </c>
      <c r="B4" s="75" t="s">
        <v>120</v>
      </c>
      <c r="C4" s="75" t="s">
        <v>120</v>
      </c>
      <c r="D4" s="74" t="s">
        <v>120</v>
      </c>
      <c r="E4" s="74" t="s">
        <v>120</v>
      </c>
    </row>
    <row r="5" spans="1:5" ht="15">
      <c r="A5" s="77" t="s">
        <v>116</v>
      </c>
      <c r="B5" s="77"/>
      <c r="C5" s="77"/>
      <c r="D5" s="77"/>
      <c r="E5" s="77"/>
    </row>
    <row r="6" spans="1:5">
      <c r="A6" s="78" t="s">
        <v>96</v>
      </c>
      <c r="B6" s="79" t="s">
        <v>121</v>
      </c>
      <c r="C6" s="79" t="s">
        <v>121</v>
      </c>
      <c r="D6" s="80" t="s">
        <v>125</v>
      </c>
      <c r="E6" s="74" t="s">
        <v>121</v>
      </c>
    </row>
    <row r="7" spans="1:5">
      <c r="A7" s="74" t="s">
        <v>107</v>
      </c>
      <c r="B7" s="81" t="s">
        <v>124</v>
      </c>
      <c r="C7" s="75" t="s">
        <v>123</v>
      </c>
      <c r="D7" s="81" t="s">
        <v>124</v>
      </c>
      <c r="E7" s="81" t="s">
        <v>124</v>
      </c>
    </row>
    <row r="8" spans="1:5">
      <c r="A8" s="74" t="s">
        <v>98</v>
      </c>
      <c r="B8" s="81" t="s">
        <v>124</v>
      </c>
      <c r="C8" s="75" t="s">
        <v>122</v>
      </c>
      <c r="D8" s="81" t="s">
        <v>124</v>
      </c>
      <c r="E8" s="81" t="s">
        <v>124</v>
      </c>
    </row>
    <row r="9" spans="1:5">
      <c r="A9" s="74" t="s">
        <v>99</v>
      </c>
      <c r="B9" s="81" t="s">
        <v>124</v>
      </c>
      <c r="C9" s="81" t="s">
        <v>124</v>
      </c>
      <c r="D9" s="75" t="s">
        <v>123</v>
      </c>
      <c r="E9" s="81" t="s">
        <v>124</v>
      </c>
    </row>
    <row r="10" spans="1:5">
      <c r="A10" s="74" t="s">
        <v>105</v>
      </c>
      <c r="B10" s="81" t="s">
        <v>124</v>
      </c>
      <c r="C10" s="81" t="s">
        <v>124</v>
      </c>
      <c r="D10" s="79" t="s">
        <v>121</v>
      </c>
      <c r="E10" s="81" t="s">
        <v>124</v>
      </c>
    </row>
    <row r="11" spans="1:5">
      <c r="A11" s="74" t="s">
        <v>92</v>
      </c>
      <c r="B11" s="79" t="s">
        <v>122</v>
      </c>
      <c r="C11" s="82" t="s">
        <v>124</v>
      </c>
      <c r="D11" s="79" t="s">
        <v>122</v>
      </c>
      <c r="E11" s="74" t="s">
        <v>122</v>
      </c>
    </row>
    <row r="12" spans="1:5" ht="15">
      <c r="A12" s="77" t="s">
        <v>117</v>
      </c>
      <c r="B12" s="77"/>
      <c r="C12" s="77"/>
      <c r="D12" s="77"/>
      <c r="E12" s="77"/>
    </row>
    <row r="13" spans="1:5">
      <c r="A13" s="74" t="s">
        <v>101</v>
      </c>
      <c r="B13" s="75" t="s">
        <v>121</v>
      </c>
      <c r="C13" s="74" t="s">
        <v>121</v>
      </c>
      <c r="D13" s="75" t="s">
        <v>125</v>
      </c>
      <c r="E13" s="74" t="s">
        <v>121</v>
      </c>
    </row>
    <row r="14" spans="1:5">
      <c r="A14" s="74" t="s">
        <v>107</v>
      </c>
      <c r="B14" s="81" t="s">
        <v>124</v>
      </c>
      <c r="C14" s="74" t="s">
        <v>123</v>
      </c>
      <c r="D14" s="81" t="s">
        <v>124</v>
      </c>
      <c r="E14" s="81" t="s">
        <v>124</v>
      </c>
    </row>
    <row r="15" spans="1:5">
      <c r="A15" s="74" t="s">
        <v>98</v>
      </c>
      <c r="B15" s="81" t="s">
        <v>124</v>
      </c>
      <c r="C15" s="74" t="s">
        <v>122</v>
      </c>
      <c r="D15" s="81" t="s">
        <v>124</v>
      </c>
      <c r="E15" s="81" t="s">
        <v>124</v>
      </c>
    </row>
    <row r="16" spans="1:5">
      <c r="A16" s="74" t="s">
        <v>99</v>
      </c>
      <c r="B16" s="81" t="s">
        <v>124</v>
      </c>
      <c r="C16" s="81" t="s">
        <v>124</v>
      </c>
      <c r="D16" s="75" t="s">
        <v>123</v>
      </c>
      <c r="E16" s="81" t="s">
        <v>124</v>
      </c>
    </row>
    <row r="17" spans="1:5">
      <c r="A17" s="74" t="s">
        <v>105</v>
      </c>
      <c r="B17" s="81" t="s">
        <v>124</v>
      </c>
      <c r="C17" s="81" t="s">
        <v>124</v>
      </c>
      <c r="D17" s="79" t="s">
        <v>121</v>
      </c>
      <c r="E17" s="81" t="s">
        <v>124</v>
      </c>
    </row>
    <row r="18" spans="1:5">
      <c r="A18" s="74" t="s">
        <v>93</v>
      </c>
      <c r="B18" s="74" t="s">
        <v>122</v>
      </c>
      <c r="C18" s="82" t="s">
        <v>124</v>
      </c>
      <c r="D18" s="74" t="s">
        <v>122</v>
      </c>
      <c r="E18" s="74" t="s">
        <v>122</v>
      </c>
    </row>
    <row r="19" spans="1:5" ht="15">
      <c r="A19" s="77" t="s">
        <v>115</v>
      </c>
      <c r="B19" s="77"/>
      <c r="C19" s="77"/>
      <c r="D19" s="77"/>
      <c r="E19" s="77"/>
    </row>
    <row r="20" spans="1:5">
      <c r="A20" s="74" t="s">
        <v>104</v>
      </c>
      <c r="B20" s="74" t="s">
        <v>121</v>
      </c>
      <c r="C20" s="74" t="s">
        <v>121</v>
      </c>
      <c r="D20" s="75" t="s">
        <v>125</v>
      </c>
      <c r="E20" s="74" t="s">
        <v>121</v>
      </c>
    </row>
    <row r="21" spans="1:5">
      <c r="A21" s="74" t="s">
        <v>107</v>
      </c>
      <c r="B21" s="81" t="s">
        <v>124</v>
      </c>
      <c r="C21" s="74" t="s">
        <v>123</v>
      </c>
      <c r="D21" s="81" t="s">
        <v>124</v>
      </c>
      <c r="E21" s="81" t="s">
        <v>124</v>
      </c>
    </row>
    <row r="22" spans="1:5">
      <c r="A22" s="74" t="s">
        <v>98</v>
      </c>
      <c r="B22" s="81" t="s">
        <v>124</v>
      </c>
      <c r="C22" s="74" t="s">
        <v>122</v>
      </c>
      <c r="D22" s="81" t="s">
        <v>124</v>
      </c>
      <c r="E22" s="81" t="s">
        <v>124</v>
      </c>
    </row>
    <row r="23" spans="1:5">
      <c r="A23" s="74" t="s">
        <v>99</v>
      </c>
      <c r="B23" s="81" t="s">
        <v>124</v>
      </c>
      <c r="C23" s="81" t="s">
        <v>124</v>
      </c>
      <c r="D23" s="75" t="s">
        <v>123</v>
      </c>
      <c r="E23" s="81" t="s">
        <v>124</v>
      </c>
    </row>
    <row r="24" spans="1:5">
      <c r="A24" s="74" t="s">
        <v>105</v>
      </c>
      <c r="B24" s="81" t="s">
        <v>124</v>
      </c>
      <c r="C24" s="81" t="s">
        <v>124</v>
      </c>
      <c r="D24" s="79" t="s">
        <v>121</v>
      </c>
      <c r="E24" s="81" t="s">
        <v>124</v>
      </c>
    </row>
    <row r="25" spans="1:5">
      <c r="A25" s="74" t="s">
        <v>94</v>
      </c>
      <c r="B25" s="74" t="s">
        <v>122</v>
      </c>
      <c r="C25" s="82" t="s">
        <v>124</v>
      </c>
      <c r="D25" s="74" t="s">
        <v>122</v>
      </c>
      <c r="E25" s="74" t="s">
        <v>122</v>
      </c>
    </row>
    <row r="26" spans="1:5" ht="15">
      <c r="A26" s="77" t="s">
        <v>126</v>
      </c>
      <c r="B26" s="77"/>
      <c r="C26" s="77"/>
      <c r="D26" s="77"/>
      <c r="E26" s="77"/>
    </row>
    <row r="27" spans="1:5">
      <c r="A27" s="74" t="s">
        <v>27</v>
      </c>
      <c r="B27" s="81" t="s">
        <v>124</v>
      </c>
      <c r="C27" s="81" t="s">
        <v>124</v>
      </c>
      <c r="D27" s="75" t="s">
        <v>127</v>
      </c>
      <c r="E27" s="75" t="s">
        <v>127</v>
      </c>
    </row>
    <row r="28" spans="1:5">
      <c r="A28" s="74" t="s">
        <v>28</v>
      </c>
      <c r="B28" s="81" t="s">
        <v>124</v>
      </c>
      <c r="C28" s="81" t="s">
        <v>124</v>
      </c>
      <c r="D28" s="75" t="s">
        <v>128</v>
      </c>
      <c r="E28" s="75" t="s">
        <v>128</v>
      </c>
    </row>
    <row r="29" spans="1:5">
      <c r="A29" s="74" t="s">
        <v>29</v>
      </c>
      <c r="B29" s="81" t="s">
        <v>124</v>
      </c>
      <c r="C29" s="81" t="s">
        <v>124</v>
      </c>
      <c r="D29" s="75" t="s">
        <v>125</v>
      </c>
      <c r="E29" s="75" t="s">
        <v>125</v>
      </c>
    </row>
    <row r="30" spans="1:5">
      <c r="A30" s="74" t="s">
        <v>30</v>
      </c>
      <c r="B30" s="81" t="s">
        <v>124</v>
      </c>
      <c r="C30" s="81" t="s">
        <v>124</v>
      </c>
      <c r="D30" s="75" t="s">
        <v>129</v>
      </c>
      <c r="E30" s="75" t="s">
        <v>129</v>
      </c>
    </row>
    <row r="31" spans="1:5">
      <c r="A31" s="74" t="s">
        <v>31</v>
      </c>
      <c r="B31" s="81" t="s">
        <v>124</v>
      </c>
      <c r="C31" s="81" t="s">
        <v>124</v>
      </c>
      <c r="D31" s="75" t="s">
        <v>125</v>
      </c>
      <c r="E31" s="75" t="s">
        <v>125</v>
      </c>
    </row>
    <row r="32" spans="1:5">
      <c r="A32" s="74" t="s">
        <v>32</v>
      </c>
      <c r="B32" s="81" t="s">
        <v>124</v>
      </c>
      <c r="C32" s="81" t="s">
        <v>124</v>
      </c>
      <c r="D32" s="75" t="s">
        <v>129</v>
      </c>
      <c r="E32" s="75" t="s">
        <v>129</v>
      </c>
    </row>
    <row r="33" spans="1:5">
      <c r="A33" s="74" t="s">
        <v>33</v>
      </c>
      <c r="B33" s="81" t="s">
        <v>124</v>
      </c>
      <c r="C33" s="81" t="s">
        <v>124</v>
      </c>
      <c r="D33" s="75" t="s">
        <v>125</v>
      </c>
      <c r="E33" s="75" t="s">
        <v>125</v>
      </c>
    </row>
    <row r="34" spans="1:5">
      <c r="A34" s="74" t="s">
        <v>34</v>
      </c>
      <c r="B34" s="81" t="s">
        <v>124</v>
      </c>
      <c r="C34" s="81" t="s">
        <v>124</v>
      </c>
      <c r="D34" s="75" t="s">
        <v>129</v>
      </c>
      <c r="E34" s="75" t="s">
        <v>129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4de43ec-192a-49eb-8e54-baeb8c71bbbe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3</vt:i4>
      </vt:variant>
    </vt:vector>
  </HeadingPairs>
  <TitlesOfParts>
    <vt:vector size="12" baseType="lpstr">
      <vt:lpstr>Cover</vt:lpstr>
      <vt:lpstr>Purpose</vt:lpstr>
      <vt:lpstr>Safe Harbor</vt:lpstr>
      <vt:lpstr>Definition</vt:lpstr>
      <vt:lpstr>Full Taxation</vt:lpstr>
      <vt:lpstr>Deferred</vt:lpstr>
      <vt:lpstr>Tax Rate Reduction </vt:lpstr>
      <vt:lpstr>Suspended with Full Taxation</vt:lpstr>
      <vt:lpstr>Consolidated Mapping</vt:lpstr>
      <vt:lpstr>Cover!Area_de_impressao</vt:lpstr>
      <vt:lpstr>Purpose!Area_de_impressao</vt:lpstr>
      <vt:lpstr>'Safe Harbor'!Area_de_impressao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Terence</dc:creator>
  <cp:keywords/>
  <dc:description/>
  <cp:lastModifiedBy>Andre Carranza</cp:lastModifiedBy>
  <cp:revision/>
  <dcterms:created xsi:type="dcterms:W3CDTF">2020-04-08T20:45:25Z</dcterms:created>
  <dcterms:modified xsi:type="dcterms:W3CDTF">2026-09-16T20:29:29Z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4de43ec-192a-49eb-8e54-baeb8c71bbbe_Enabled">
    <vt:lpwstr>true</vt:lpwstr>
  </property>
  <property fmtid="{D5CDD505-2E9C-101B-9397-08002B2CF9AE}" pid="5" name="MSIP_Label_a4de43ec-192a-49eb-8e54-baeb8c71bbbe_SetDate">
    <vt:lpwstr>2025-07-08T19:29:50Z</vt:lpwstr>
  </property>
  <property fmtid="{D5CDD505-2E9C-101B-9397-08002B2CF9AE}" pid="6" name="MSIP_Label_a4de43ec-192a-49eb-8e54-baeb8c71bbbe_Method">
    <vt:lpwstr>Standard</vt:lpwstr>
  </property>
  <property fmtid="{D5CDD505-2E9C-101B-9397-08002B2CF9AE}" pid="7" name="MSIP_Label_a4de43ec-192a-49eb-8e54-baeb8c71bbbe_Name">
    <vt:lpwstr>Confidential – Oracle Internal</vt:lpwstr>
  </property>
  <property fmtid="{D5CDD505-2E9C-101B-9397-08002B2CF9AE}" pid="8" name="MSIP_Label_a4de43ec-192a-49eb-8e54-baeb8c71bbbe_SiteId">
    <vt:lpwstr>4e2c6054-71cb-48f1-bd6c-3a9705aca71b</vt:lpwstr>
  </property>
  <property fmtid="{D5CDD505-2E9C-101B-9397-08002B2CF9AE}" pid="9" name="MSIP_Label_a4de43ec-192a-49eb-8e54-baeb8c71bbbe_ActionId">
    <vt:lpwstr>156acd63-2428-43fc-aa13-5a209c2b5709</vt:lpwstr>
  </property>
  <property fmtid="{D5CDD505-2E9C-101B-9397-08002B2CF9AE}" pid="10" name="MSIP_Label_a4de43ec-192a-49eb-8e54-baeb8c71bbbe_ContentBits">
    <vt:lpwstr>2</vt:lpwstr>
  </property>
  <property fmtid="{D5CDD505-2E9C-101B-9397-08002B2CF9AE}" pid="11" name="MSIP_Label_a4de43ec-192a-49eb-8e54-baeb8c71bbbe_Tag">
    <vt:lpwstr>10, 3, 0, 2</vt:lpwstr>
  </property>
</Properties>
</file>